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opikrishna/Desktop/Stock-Market/"/>
    </mc:Choice>
  </mc:AlternateContent>
  <xr:revisionPtr revIDLastSave="0" documentId="13_ncr:1_{0D16DE69-C60C-1946-B5DE-2896921061A2}" xr6:coauthVersionLast="46" xr6:coauthVersionMax="46" xr10:uidLastSave="{00000000-0000-0000-0000-000000000000}"/>
  <bookViews>
    <workbookView xWindow="0" yWindow="500" windowWidth="32680" windowHeight="17440" activeTab="3" xr2:uid="{CF95B6ED-2F58-514F-A8C4-FDA980CA2995}"/>
  </bookViews>
  <sheets>
    <sheet name="Futures" sheetId="7" r:id="rId1"/>
    <sheet name="Options" sheetId="1" r:id="rId2"/>
    <sheet name="Straddle vs Strangle" sheetId="8" r:id="rId3"/>
    <sheet name="Options Strategy" sheetId="9" r:id="rId4"/>
    <sheet name="Retirement" sheetId="4" r:id="rId5"/>
    <sheet name="Expense Ratio" sheetId="5" r:id="rId6"/>
    <sheet name="XIIR" sheetId="6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" i="1" l="1"/>
  <c r="J13" i="1" s="1"/>
  <c r="K13" i="1" s="1"/>
  <c r="U7" i="8"/>
  <c r="U12" i="8"/>
  <c r="U13" i="8"/>
  <c r="U15" i="8"/>
  <c r="O7" i="8"/>
  <c r="S21" i="8"/>
  <c r="T21" i="8" s="1"/>
  <c r="U21" i="8" s="1"/>
  <c r="S20" i="8"/>
  <c r="T20" i="8" s="1"/>
  <c r="U20" i="8" s="1"/>
  <c r="S19" i="8"/>
  <c r="T19" i="8" s="1"/>
  <c r="U19" i="8" s="1"/>
  <c r="S18" i="8"/>
  <c r="T18" i="8" s="1"/>
  <c r="U18" i="8" s="1"/>
  <c r="S17" i="8"/>
  <c r="T17" i="8" s="1"/>
  <c r="U17" i="8" s="1"/>
  <c r="S16" i="8"/>
  <c r="T16" i="8" s="1"/>
  <c r="U16" i="8" s="1"/>
  <c r="S15" i="8"/>
  <c r="T15" i="8" s="1"/>
  <c r="S14" i="8"/>
  <c r="T14" i="8" s="1"/>
  <c r="U14" i="8" s="1"/>
  <c r="S13" i="8"/>
  <c r="T13" i="8" s="1"/>
  <c r="S12" i="8"/>
  <c r="T12" i="8" s="1"/>
  <c r="S11" i="8"/>
  <c r="T11" i="8" s="1"/>
  <c r="U11" i="8" s="1"/>
  <c r="S10" i="8"/>
  <c r="T10" i="8" s="1"/>
  <c r="U10" i="8" s="1"/>
  <c r="S9" i="8"/>
  <c r="T9" i="8" s="1"/>
  <c r="U9" i="8" s="1"/>
  <c r="S8" i="8"/>
  <c r="T8" i="8" s="1"/>
  <c r="U8" i="8" s="1"/>
  <c r="S7" i="8"/>
  <c r="T7" i="8" s="1"/>
  <c r="S6" i="8"/>
  <c r="T6" i="8" s="1"/>
  <c r="U6" i="8" s="1"/>
  <c r="O6" i="8"/>
  <c r="S5" i="8"/>
  <c r="T5" i="8" s="1"/>
  <c r="U5" i="8" s="1"/>
  <c r="O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J5" i="8"/>
  <c r="I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5" i="8"/>
  <c r="D7" i="8"/>
  <c r="D6" i="8"/>
  <c r="D5" i="8"/>
  <c r="F10" i="7"/>
  <c r="D28" i="6"/>
  <c r="G28" i="6"/>
  <c r="E17" i="5"/>
  <c r="E13" i="5"/>
  <c r="E16" i="4"/>
  <c r="E11" i="4"/>
  <c r="E15" i="4" s="1"/>
  <c r="I10" i="1"/>
  <c r="J10" i="1" s="1"/>
  <c r="K10" i="1" s="1"/>
  <c r="I8" i="1"/>
  <c r="J8" i="1" s="1"/>
  <c r="K8" i="1" s="1"/>
  <c r="I7" i="1"/>
  <c r="J7" i="1" s="1"/>
  <c r="K7" i="1" s="1"/>
  <c r="I9" i="1"/>
  <c r="J9" i="1" s="1"/>
  <c r="K9" i="1" s="1"/>
  <c r="I6" i="1"/>
  <c r="J6" i="1" s="1"/>
  <c r="K6" i="1" s="1"/>
  <c r="E18" i="4" l="1"/>
</calcChain>
</file>

<file path=xl/sharedStrings.xml><?xml version="1.0" encoding="utf-8"?>
<sst xmlns="http://schemas.openxmlformats.org/spreadsheetml/2006/main" count="127" uniqueCount="100">
  <si>
    <t>Strike price</t>
  </si>
  <si>
    <t>Delta</t>
  </si>
  <si>
    <t>Change in NIFTY</t>
  </si>
  <si>
    <t>Change in premium</t>
  </si>
  <si>
    <t>Current premium</t>
  </si>
  <si>
    <t xml:space="preserve">New premium </t>
  </si>
  <si>
    <t>% change</t>
  </si>
  <si>
    <t>Slightly OTM</t>
  </si>
  <si>
    <t>Far OTM</t>
  </si>
  <si>
    <t>ATM</t>
  </si>
  <si>
    <t>ITM</t>
  </si>
  <si>
    <t>Far ITM</t>
  </si>
  <si>
    <t>Option premium calculator</t>
  </si>
  <si>
    <t xml:space="preserve">RETIREMENT PLANNING </t>
  </si>
  <si>
    <t xml:space="preserve">Current Age </t>
  </si>
  <si>
    <t xml:space="preserve">Monthly expense </t>
  </si>
  <si>
    <t xml:space="preserve">Retirement Age </t>
  </si>
  <si>
    <t xml:space="preserve">No of years for retirement </t>
  </si>
  <si>
    <t>Life expectancy</t>
  </si>
  <si>
    <t xml:space="preserve">% expenses after retirement </t>
  </si>
  <si>
    <t xml:space="preserve">Infaltion Rate </t>
  </si>
  <si>
    <t xml:space="preserve">Value of  monthly expenses post retirement </t>
  </si>
  <si>
    <t xml:space="preserve">No of years in retirement </t>
  </si>
  <si>
    <t xml:space="preserve">Return on Corpus </t>
  </si>
  <si>
    <t xml:space="preserve">Corpus required to account for retirement expenses </t>
  </si>
  <si>
    <t>Expense Ratio</t>
  </si>
  <si>
    <t>Amount Invested</t>
  </si>
  <si>
    <t>Expected Returns</t>
  </si>
  <si>
    <t>Period (yrs)</t>
  </si>
  <si>
    <t>case 1:</t>
  </si>
  <si>
    <t>Expense ratio</t>
  </si>
  <si>
    <t>Compound Interest = P(1+r)^n</t>
  </si>
  <si>
    <t>case 2:</t>
  </si>
  <si>
    <t>Maturity Amt</t>
  </si>
  <si>
    <t>XIRR</t>
  </si>
  <si>
    <t>SIP Date</t>
  </si>
  <si>
    <t>Amt Invested</t>
  </si>
  <si>
    <t>Mirae</t>
  </si>
  <si>
    <t>Axis</t>
  </si>
  <si>
    <t>NIFTY Spot price</t>
  </si>
  <si>
    <t>Days to expiry</t>
  </si>
  <si>
    <t>Interest rate (fixed)</t>
  </si>
  <si>
    <t>NIFTY Futures price</t>
  </si>
  <si>
    <t>Calculate Futures price</t>
  </si>
  <si>
    <t>Straddle</t>
  </si>
  <si>
    <t xml:space="preserve">Price </t>
  </si>
  <si>
    <t>Lot</t>
  </si>
  <si>
    <t>Contract value</t>
  </si>
  <si>
    <t>CALL P/L</t>
  </si>
  <si>
    <t>PUT P/L</t>
  </si>
  <si>
    <t>Total P/L</t>
  </si>
  <si>
    <t>Gross P/L</t>
  </si>
  <si>
    <t>Net P/L</t>
  </si>
  <si>
    <t>Points</t>
  </si>
  <si>
    <t>Strangle</t>
  </si>
  <si>
    <t>Call option 14900</t>
  </si>
  <si>
    <t>Put option 14900</t>
  </si>
  <si>
    <t>OTM</t>
  </si>
  <si>
    <t>Call option 15000</t>
  </si>
  <si>
    <t>Put option 14800</t>
  </si>
  <si>
    <t>Options Strategy</t>
  </si>
  <si>
    <t>1st leg</t>
  </si>
  <si>
    <t>2nd leg</t>
  </si>
  <si>
    <t>Bull CALL spread</t>
  </si>
  <si>
    <t>Buy CE ATM</t>
  </si>
  <si>
    <t>Sell CE slight OTM</t>
  </si>
  <si>
    <t>Strategy profile</t>
  </si>
  <si>
    <t>Bullish</t>
  </si>
  <si>
    <t>Bull PUT spread</t>
  </si>
  <si>
    <t>Buy PE OTM</t>
  </si>
  <si>
    <t>Sell PE ATM</t>
  </si>
  <si>
    <t>Buy CALL</t>
  </si>
  <si>
    <t>Sell CALL</t>
  </si>
  <si>
    <t>Buy PUT</t>
  </si>
  <si>
    <t>Sell PUT</t>
  </si>
  <si>
    <t>Very Bullish</t>
  </si>
  <si>
    <t>Very Bearish</t>
  </si>
  <si>
    <t>Buy ATM or slight OTM CE</t>
  </si>
  <si>
    <t>Nil</t>
  </si>
  <si>
    <t>Buy ATM or slight OTM PE</t>
  </si>
  <si>
    <t>Bearish</t>
  </si>
  <si>
    <t>Sell far OTM CE</t>
  </si>
  <si>
    <t>Sell far OTM PE</t>
  </si>
  <si>
    <t>Bear CALL spread</t>
  </si>
  <si>
    <t>Bear PUT spread</t>
  </si>
  <si>
    <t>Sell PE slight OTM</t>
  </si>
  <si>
    <t>Buy PE ATM</t>
  </si>
  <si>
    <t>Buy CE OTM</t>
  </si>
  <si>
    <t>Sell CE ITM</t>
  </si>
  <si>
    <t>Sell PE ITM</t>
  </si>
  <si>
    <t>Long Straddle</t>
  </si>
  <si>
    <t>Short Straddle</t>
  </si>
  <si>
    <t>Long Strangle</t>
  </si>
  <si>
    <t>Short Strangle</t>
  </si>
  <si>
    <t>Very "Bullish or Bearish"</t>
  </si>
  <si>
    <t>NOT Very "Bullish or Bearish"</t>
  </si>
  <si>
    <t xml:space="preserve">Buy CE slight OTM </t>
  </si>
  <si>
    <t>Buy PE slight OTM</t>
  </si>
  <si>
    <t>Sell CE ATM</t>
  </si>
  <si>
    <t xml:space="preserve">Sell CE slight OTM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</si>
</sst>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₹&quot;* #,##0.00_);_(&quot;₹&quot;* \(#,##0.00\);_(&quot;₹&quot;* &quot;-&quot;??_);_(@_)"/>
    <numFmt numFmtId="164" formatCode="#,##0_ ;[Red]\-#,##0\ "/>
    <numFmt numFmtId="165" formatCode="&quot;Rs.&quot;\ #,##0.00;[Red]&quot;Rs.&quot;\ \-#,##0.00"/>
    <numFmt numFmtId="166" formatCode="&quot;₹&quot;#,##0;[Red]&quot;₹&quot;#,##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</font>
    <font>
      <sz val="11"/>
      <name val="Calibri"/>
    </font>
    <font>
      <sz val="14"/>
      <color rgb="FF000000"/>
      <name val="Calibri"/>
    </font>
    <font>
      <sz val="16"/>
      <color rgb="FF000000"/>
      <name val="Calibri"/>
    </font>
    <font>
      <sz val="14"/>
      <color theme="1"/>
      <name val="Calibri"/>
    </font>
    <font>
      <sz val="16"/>
      <color rgb="FFFF0000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sz val="18"/>
      <color theme="1"/>
      <name val="Calibri"/>
      <family val="2"/>
      <scheme val="minor"/>
    </font>
    <font>
      <sz val="15"/>
      <color theme="4"/>
      <name val="Calibri"/>
      <family val="2"/>
      <scheme val="minor"/>
    </font>
    <font>
      <sz val="15"/>
      <color theme="1" tint="4.9989318521683403E-2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4"/>
      <color rgb="FFFF0000"/>
      <name val="Calibri"/>
      <family val="2"/>
      <scheme val="minor"/>
    </font>
    <font>
      <sz val="15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7099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D99594"/>
        <bgColor rgb="FFD99594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11" borderId="0" applyNumberFormat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9" fontId="0" fillId="0" borderId="0" xfId="1" applyFont="1" applyAlignment="1">
      <alignment horizontal="left" indent="1"/>
    </xf>
    <xf numFmtId="0" fontId="2" fillId="0" borderId="0" xfId="0" applyFont="1"/>
    <xf numFmtId="0" fontId="4" fillId="5" borderId="7" xfId="0" applyFont="1" applyFill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1" fontId="7" fillId="6" borderId="7" xfId="0" applyNumberFormat="1" applyFont="1" applyFill="1" applyBorder="1" applyAlignment="1">
      <alignment horizontal="center" vertical="center" wrapText="1"/>
    </xf>
    <xf numFmtId="1" fontId="7" fillId="6" borderId="8" xfId="0" applyNumberFormat="1" applyFont="1" applyFill="1" applyBorder="1" applyAlignment="1">
      <alignment horizontal="center" vertical="center" wrapText="1"/>
    </xf>
    <xf numFmtId="1" fontId="4" fillId="7" borderId="8" xfId="0" applyNumberFormat="1" applyFont="1" applyFill="1" applyBorder="1" applyAlignment="1">
      <alignment horizontal="center" vertical="center" wrapText="1"/>
    </xf>
    <xf numFmtId="9" fontId="7" fillId="6" borderId="8" xfId="0" applyNumberFormat="1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/>
    </xf>
    <xf numFmtId="9" fontId="8" fillId="6" borderId="7" xfId="0" applyNumberFormat="1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 vertical="center"/>
    </xf>
    <xf numFmtId="165" fontId="4" fillId="7" borderId="7" xfId="0" applyNumberFormat="1" applyFont="1" applyFill="1" applyBorder="1" applyAlignment="1">
      <alignment horizontal="center"/>
    </xf>
    <xf numFmtId="9" fontId="6" fillId="6" borderId="7" xfId="0" applyNumberFormat="1" applyFont="1" applyFill="1" applyBorder="1" applyAlignment="1">
      <alignment horizontal="center"/>
    </xf>
    <xf numFmtId="0" fontId="9" fillId="8" borderId="0" xfId="0" applyFont="1" applyFill="1"/>
    <xf numFmtId="9" fontId="2" fillId="0" borderId="0" xfId="0" applyNumberFormat="1" applyFont="1"/>
    <xf numFmtId="0" fontId="10" fillId="0" borderId="0" xfId="0" applyFont="1"/>
    <xf numFmtId="166" fontId="2" fillId="0" borderId="0" xfId="0" applyNumberFormat="1" applyFont="1"/>
    <xf numFmtId="0" fontId="11" fillId="0" borderId="0" xfId="0" applyFont="1"/>
    <xf numFmtId="166" fontId="2" fillId="0" borderId="0" xfId="0" applyNumberFormat="1" applyFont="1" applyAlignment="1"/>
    <xf numFmtId="14" fontId="0" fillId="0" borderId="0" xfId="0" applyNumberFormat="1"/>
    <xf numFmtId="14" fontId="12" fillId="0" borderId="0" xfId="0" applyNumberFormat="1" applyFont="1"/>
    <xf numFmtId="0" fontId="0" fillId="9" borderId="0" xfId="0" applyFill="1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13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2" fontId="16" fillId="0" borderId="0" xfId="0" applyNumberFormat="1" applyFont="1"/>
    <xf numFmtId="0" fontId="0" fillId="12" borderId="0" xfId="0" applyFill="1" applyAlignment="1">
      <alignment horizontal="center"/>
    </xf>
    <xf numFmtId="0" fontId="0" fillId="13" borderId="0" xfId="0" applyFill="1"/>
    <xf numFmtId="0" fontId="19" fillId="13" borderId="0" xfId="0" applyFont="1" applyFill="1"/>
    <xf numFmtId="3" fontId="0" fillId="0" borderId="0" xfId="0" applyNumberFormat="1"/>
    <xf numFmtId="3" fontId="0" fillId="0" borderId="0" xfId="2" applyNumberFormat="1" applyFont="1"/>
    <xf numFmtId="3" fontId="18" fillId="11" borderId="0" xfId="3" applyNumberFormat="1"/>
    <xf numFmtId="3" fontId="0" fillId="13" borderId="0" xfId="0" applyNumberFormat="1" applyFill="1"/>
    <xf numFmtId="1" fontId="0" fillId="0" borderId="0" xfId="0" applyNumberFormat="1"/>
    <xf numFmtId="1" fontId="19" fillId="13" borderId="0" xfId="0" applyNumberFormat="1" applyFont="1" applyFill="1"/>
    <xf numFmtId="0" fontId="14" fillId="10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1" fillId="14" borderId="0" xfId="0" applyFont="1" applyFill="1" applyAlignment="1">
      <alignment horizontal="center"/>
    </xf>
  </cellXfs>
  <cellStyles count="4">
    <cellStyle name="Bad" xfId="3" builtinId="27"/>
    <cellStyle name="Currency" xfId="2" builtinId="4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CAB9F"/>
      <color rgb="FFFF8F8C"/>
      <color rgb="FFFF8885"/>
      <color rgb="FF709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78338-72BC-D54B-A0CA-0CC9363C5FC5}">
  <dimension ref="B3:F10"/>
  <sheetViews>
    <sheetView zoomScale="110" zoomScaleNormal="110" workbookViewId="0">
      <selection activeCell="G11" sqref="G11"/>
    </sheetView>
  </sheetViews>
  <sheetFormatPr baseColWidth="10" defaultRowHeight="16" x14ac:dyDescent="0.2"/>
  <cols>
    <col min="5" max="5" width="22.83203125" customWidth="1"/>
    <col min="6" max="6" width="11.6640625" bestFit="1" customWidth="1"/>
  </cols>
  <sheetData>
    <row r="3" spans="2:6" ht="24" x14ac:dyDescent="0.3">
      <c r="B3" s="42" t="s">
        <v>43</v>
      </c>
      <c r="C3" s="42"/>
      <c r="D3" s="42"/>
    </row>
    <row r="6" spans="2:6" ht="20" x14ac:dyDescent="0.25">
      <c r="E6" s="29" t="s">
        <v>39</v>
      </c>
      <c r="F6" s="30">
        <v>33858</v>
      </c>
    </row>
    <row r="7" spans="2:6" ht="20" x14ac:dyDescent="0.25">
      <c r="E7" s="29" t="s">
        <v>40</v>
      </c>
      <c r="F7" s="30">
        <v>26</v>
      </c>
    </row>
    <row r="8" spans="2:6" ht="20" x14ac:dyDescent="0.25">
      <c r="E8" s="29" t="s">
        <v>41</v>
      </c>
      <c r="F8" s="30">
        <v>3.2480000000000002E-2</v>
      </c>
    </row>
    <row r="9" spans="2:6" ht="20" x14ac:dyDescent="0.25">
      <c r="E9" s="29"/>
      <c r="F9" s="30"/>
    </row>
    <row r="10" spans="2:6" ht="20" x14ac:dyDescent="0.25">
      <c r="E10" s="31" t="s">
        <v>42</v>
      </c>
      <c r="F10" s="32">
        <f>F6*(1+F7/265*F8)</f>
        <v>33965.895863547172</v>
      </c>
    </row>
  </sheetData>
  <mergeCells count="1">
    <mergeCell ref="B3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E005-184B-1943-9D30-C7A1D1A17FC4}">
  <dimension ref="C2:K13"/>
  <sheetViews>
    <sheetView zoomScale="140" zoomScaleNormal="140" workbookViewId="0">
      <selection activeCell="G16" sqref="G16"/>
    </sheetView>
  </sheetViews>
  <sheetFormatPr baseColWidth="10" defaultRowHeight="16" x14ac:dyDescent="0.2"/>
  <cols>
    <col min="4" max="4" width="12.33203125" customWidth="1"/>
    <col min="7" max="7" width="16.83203125" customWidth="1"/>
    <col min="8" max="8" width="16" customWidth="1"/>
    <col min="9" max="9" width="18.1640625" customWidth="1"/>
    <col min="10" max="10" width="14" customWidth="1"/>
    <col min="11" max="11" width="12.6640625" bestFit="1" customWidth="1"/>
  </cols>
  <sheetData>
    <row r="2" spans="3:11" x14ac:dyDescent="0.2">
      <c r="C2" s="43" t="s">
        <v>12</v>
      </c>
      <c r="D2" s="43"/>
      <c r="E2" s="43"/>
      <c r="F2" s="43"/>
    </row>
    <row r="5" spans="3:11" s="1" customFormat="1" x14ac:dyDescent="0.2">
      <c r="E5" s="2" t="s">
        <v>0</v>
      </c>
      <c r="F5" s="2" t="s">
        <v>1</v>
      </c>
      <c r="G5" s="2" t="s">
        <v>2</v>
      </c>
      <c r="H5" s="2" t="s">
        <v>4</v>
      </c>
      <c r="I5" s="2" t="s">
        <v>3</v>
      </c>
      <c r="J5" s="2" t="s">
        <v>5</v>
      </c>
      <c r="K5" s="2" t="s">
        <v>6</v>
      </c>
    </row>
    <row r="6" spans="3:11" x14ac:dyDescent="0.2">
      <c r="D6" t="s">
        <v>8</v>
      </c>
      <c r="E6">
        <v>14200</v>
      </c>
      <c r="F6">
        <v>-0.21</v>
      </c>
      <c r="G6">
        <v>-100</v>
      </c>
      <c r="H6">
        <v>115.8</v>
      </c>
      <c r="I6">
        <f>G6*F6</f>
        <v>21</v>
      </c>
      <c r="J6">
        <f>I6+H6</f>
        <v>136.80000000000001</v>
      </c>
      <c r="K6" s="3">
        <f>(J6-H6)/H6</f>
        <v>0.18134715025906747</v>
      </c>
    </row>
    <row r="7" spans="3:11" x14ac:dyDescent="0.2">
      <c r="D7" t="s">
        <v>7</v>
      </c>
      <c r="E7">
        <v>14750</v>
      </c>
      <c r="F7">
        <v>-0.4143</v>
      </c>
      <c r="G7">
        <v>-100</v>
      </c>
      <c r="H7">
        <v>273.95</v>
      </c>
      <c r="I7">
        <f t="shared" ref="I7:I9" si="0">G7*F7</f>
        <v>41.43</v>
      </c>
      <c r="J7">
        <f t="shared" ref="J7:J9" si="1">I7+H7</f>
        <v>315.38</v>
      </c>
      <c r="K7" s="3">
        <f t="shared" ref="K7:K9" si="2">(J7-H7)/H7</f>
        <v>0.15123197663807267</v>
      </c>
    </row>
    <row r="8" spans="3:11" x14ac:dyDescent="0.2">
      <c r="D8" t="s">
        <v>9</v>
      </c>
      <c r="E8">
        <v>14900</v>
      </c>
      <c r="F8">
        <v>-0.48209999999999997</v>
      </c>
      <c r="G8">
        <v>-100</v>
      </c>
      <c r="H8">
        <v>330.05</v>
      </c>
      <c r="I8">
        <f>G8*F8</f>
        <v>48.209999999999994</v>
      </c>
      <c r="J8">
        <f>I8+H8</f>
        <v>378.26</v>
      </c>
      <c r="K8" s="3">
        <f>(J8-H8)/H8</f>
        <v>0.14606877745796085</v>
      </c>
    </row>
    <row r="9" spans="3:11" x14ac:dyDescent="0.2">
      <c r="D9" t="s">
        <v>10</v>
      </c>
      <c r="E9">
        <v>15200</v>
      </c>
      <c r="F9">
        <v>-0.626</v>
      </c>
      <c r="G9">
        <v>-100</v>
      </c>
      <c r="H9">
        <v>490.05</v>
      </c>
      <c r="I9">
        <f t="shared" si="0"/>
        <v>62.6</v>
      </c>
      <c r="J9">
        <f t="shared" si="1"/>
        <v>552.65</v>
      </c>
      <c r="K9" s="3">
        <f t="shared" si="2"/>
        <v>0.12774206713600647</v>
      </c>
    </row>
    <row r="10" spans="3:11" x14ac:dyDescent="0.2">
      <c r="D10" t="s">
        <v>11</v>
      </c>
      <c r="E10">
        <v>15000</v>
      </c>
      <c r="F10">
        <v>1.17E-2</v>
      </c>
      <c r="G10">
        <v>100</v>
      </c>
      <c r="H10">
        <v>5</v>
      </c>
      <c r="I10">
        <f t="shared" ref="I10" si="3">G10*F10</f>
        <v>1.17</v>
      </c>
      <c r="J10">
        <f t="shared" ref="J10" si="4">I10+H10</f>
        <v>6.17</v>
      </c>
      <c r="K10" s="3">
        <f t="shared" ref="K10" si="5">(J10-H10)/H10</f>
        <v>0.23399999999999999</v>
      </c>
    </row>
    <row r="13" spans="3:11" x14ac:dyDescent="0.2">
      <c r="E13">
        <v>33300</v>
      </c>
      <c r="F13">
        <v>0.31</v>
      </c>
      <c r="G13">
        <v>400</v>
      </c>
      <c r="H13">
        <v>240</v>
      </c>
      <c r="I13">
        <f>G13*F13</f>
        <v>124</v>
      </c>
      <c r="J13">
        <f>I13+H13</f>
        <v>364</v>
      </c>
      <c r="K13" s="3">
        <f>(J13-H13)/H13</f>
        <v>0.51666666666666672</v>
      </c>
    </row>
  </sheetData>
  <mergeCells count="1">
    <mergeCell ref="C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C7AD-322E-BE47-A368-5BD4EA95D8F5}">
  <dimension ref="A2:U21"/>
  <sheetViews>
    <sheetView zoomScale="105" zoomScaleNormal="105" workbookViewId="0">
      <selection activeCell="D29" sqref="D29"/>
    </sheetView>
  </sheetViews>
  <sheetFormatPr baseColWidth="10" defaultRowHeight="16" x14ac:dyDescent="0.2"/>
  <cols>
    <col min="1" max="1" width="17" customWidth="1"/>
    <col min="4" max="4" width="13.1640625" bestFit="1" customWidth="1"/>
    <col min="9" max="9" width="11.33203125" bestFit="1" customWidth="1"/>
    <col min="10" max="10" width="11.5" bestFit="1" customWidth="1"/>
    <col min="12" max="12" width="15.6640625" customWidth="1"/>
    <col min="15" max="15" width="13.1640625" bestFit="1" customWidth="1"/>
  </cols>
  <sheetData>
    <row r="2" spans="1:21" x14ac:dyDescent="0.2">
      <c r="A2" s="44" t="s">
        <v>44</v>
      </c>
      <c r="B2" s="44"/>
      <c r="C2" s="44"/>
      <c r="D2" s="44"/>
      <c r="E2" s="44"/>
      <c r="F2" s="44"/>
      <c r="G2" s="44"/>
      <c r="H2" s="44"/>
      <c r="I2" s="44"/>
      <c r="J2" s="44"/>
      <c r="L2" s="45" t="s">
        <v>54</v>
      </c>
      <c r="M2" s="45"/>
      <c r="N2" s="45"/>
      <c r="O2" s="45"/>
      <c r="P2" s="45"/>
      <c r="Q2" s="45"/>
      <c r="R2" s="45"/>
      <c r="S2" s="45"/>
      <c r="T2" s="45"/>
      <c r="U2" s="45"/>
    </row>
    <row r="3" spans="1:21" x14ac:dyDescent="0.2">
      <c r="H3" t="s">
        <v>53</v>
      </c>
      <c r="S3" t="s">
        <v>53</v>
      </c>
    </row>
    <row r="4" spans="1:21" s="1" customFormat="1" x14ac:dyDescent="0.2">
      <c r="A4" s="1" t="s">
        <v>9</v>
      </c>
      <c r="B4" s="33" t="s">
        <v>45</v>
      </c>
      <c r="C4" s="33" t="s">
        <v>46</v>
      </c>
      <c r="D4" s="33" t="s">
        <v>47</v>
      </c>
      <c r="F4" s="33" t="s">
        <v>48</v>
      </c>
      <c r="G4" s="33" t="s">
        <v>49</v>
      </c>
      <c r="H4" s="33" t="s">
        <v>50</v>
      </c>
      <c r="I4" s="33" t="s">
        <v>51</v>
      </c>
      <c r="J4" s="33" t="s">
        <v>52</v>
      </c>
      <c r="L4" s="1" t="s">
        <v>57</v>
      </c>
      <c r="M4" s="33" t="s">
        <v>45</v>
      </c>
      <c r="N4" s="33" t="s">
        <v>46</v>
      </c>
      <c r="O4" s="33" t="s">
        <v>47</v>
      </c>
      <c r="Q4" s="33" t="s">
        <v>48</v>
      </c>
      <c r="R4" s="33" t="s">
        <v>49</v>
      </c>
      <c r="S4" s="33" t="s">
        <v>50</v>
      </c>
      <c r="T4" s="33" t="s">
        <v>51</v>
      </c>
      <c r="U4" s="33" t="s">
        <v>52</v>
      </c>
    </row>
    <row r="5" spans="1:21" x14ac:dyDescent="0.2">
      <c r="A5" t="s">
        <v>55</v>
      </c>
      <c r="B5">
        <v>274.8</v>
      </c>
      <c r="C5">
        <v>75</v>
      </c>
      <c r="D5">
        <f>B5*C5</f>
        <v>20610</v>
      </c>
      <c r="E5">
        <v>14100</v>
      </c>
      <c r="F5">
        <v>0</v>
      </c>
      <c r="G5">
        <v>800</v>
      </c>
      <c r="H5">
        <f>G5+F5</f>
        <v>800</v>
      </c>
      <c r="I5" s="36">
        <f>H5*75</f>
        <v>60000</v>
      </c>
      <c r="J5" s="37">
        <f>I5-42360</f>
        <v>17640</v>
      </c>
      <c r="L5" t="s">
        <v>58</v>
      </c>
      <c r="M5">
        <v>222.05</v>
      </c>
      <c r="N5">
        <v>75</v>
      </c>
      <c r="O5" s="40">
        <f>M5*N5</f>
        <v>16653.75</v>
      </c>
      <c r="P5">
        <v>14100</v>
      </c>
      <c r="Q5">
        <v>0</v>
      </c>
      <c r="R5">
        <v>700</v>
      </c>
      <c r="S5">
        <f>R5+Q5</f>
        <v>700</v>
      </c>
      <c r="T5" s="36">
        <f>S5*75</f>
        <v>52500</v>
      </c>
      <c r="U5" s="37">
        <f>T5-35344</f>
        <v>17156</v>
      </c>
    </row>
    <row r="6" spans="1:21" x14ac:dyDescent="0.2">
      <c r="A6" t="s">
        <v>56</v>
      </c>
      <c r="B6">
        <v>290</v>
      </c>
      <c r="C6">
        <v>75</v>
      </c>
      <c r="D6">
        <f>B6*C6</f>
        <v>21750</v>
      </c>
      <c r="E6">
        <v>14200</v>
      </c>
      <c r="F6">
        <v>0</v>
      </c>
      <c r="G6">
        <v>700</v>
      </c>
      <c r="H6">
        <f t="shared" ref="H6:H21" si="0">G6+F6</f>
        <v>700</v>
      </c>
      <c r="I6" s="36">
        <f t="shared" ref="I6:I21" si="1">H6*75</f>
        <v>52500</v>
      </c>
      <c r="J6" s="37">
        <f t="shared" ref="J6:J21" si="2">I6-42360</f>
        <v>10140</v>
      </c>
      <c r="L6" t="s">
        <v>59</v>
      </c>
      <c r="M6">
        <v>249.2</v>
      </c>
      <c r="N6">
        <v>75</v>
      </c>
      <c r="O6">
        <f>M6*N6</f>
        <v>18690</v>
      </c>
      <c r="P6">
        <v>14200</v>
      </c>
      <c r="Q6">
        <v>0</v>
      </c>
      <c r="R6">
        <v>600</v>
      </c>
      <c r="S6">
        <f t="shared" ref="S6:S21" si="3">R6+Q6</f>
        <v>600</v>
      </c>
      <c r="T6" s="36">
        <f t="shared" ref="T6:T21" si="4">S6*75</f>
        <v>45000</v>
      </c>
      <c r="U6" s="37">
        <f t="shared" ref="U6:U21" si="5">T6-35344</f>
        <v>9656</v>
      </c>
    </row>
    <row r="7" spans="1:21" x14ac:dyDescent="0.2">
      <c r="B7" s="34"/>
      <c r="C7" s="34"/>
      <c r="D7" s="35">
        <f>SUM(D5:D6)</f>
        <v>42360</v>
      </c>
      <c r="E7">
        <v>14300</v>
      </c>
      <c r="F7">
        <v>0</v>
      </c>
      <c r="G7">
        <v>600</v>
      </c>
      <c r="H7">
        <f t="shared" si="0"/>
        <v>600</v>
      </c>
      <c r="I7" s="36">
        <f t="shared" si="1"/>
        <v>45000</v>
      </c>
      <c r="J7" s="37">
        <f t="shared" si="2"/>
        <v>2640</v>
      </c>
      <c r="M7" s="34"/>
      <c r="N7" s="34"/>
      <c r="O7" s="41">
        <f>SUM(O5:O6)</f>
        <v>35343.75</v>
      </c>
      <c r="P7">
        <v>14300</v>
      </c>
      <c r="Q7">
        <v>0</v>
      </c>
      <c r="R7">
        <v>500</v>
      </c>
      <c r="S7">
        <f t="shared" si="3"/>
        <v>500</v>
      </c>
      <c r="T7" s="36">
        <f t="shared" si="4"/>
        <v>37500</v>
      </c>
      <c r="U7" s="37">
        <f t="shared" si="5"/>
        <v>2156</v>
      </c>
    </row>
    <row r="8" spans="1:21" x14ac:dyDescent="0.2">
      <c r="E8">
        <v>14400</v>
      </c>
      <c r="F8">
        <v>0</v>
      </c>
      <c r="G8">
        <v>500</v>
      </c>
      <c r="H8">
        <f t="shared" si="0"/>
        <v>500</v>
      </c>
      <c r="I8" s="36">
        <f t="shared" si="1"/>
        <v>37500</v>
      </c>
      <c r="J8" s="38">
        <f t="shared" si="2"/>
        <v>-4860</v>
      </c>
      <c r="P8">
        <v>14400</v>
      </c>
      <c r="Q8">
        <v>0</v>
      </c>
      <c r="R8">
        <v>400</v>
      </c>
      <c r="S8">
        <f t="shared" si="3"/>
        <v>400</v>
      </c>
      <c r="T8" s="36">
        <f t="shared" si="4"/>
        <v>30000</v>
      </c>
      <c r="U8" s="38">
        <f t="shared" si="5"/>
        <v>-5344</v>
      </c>
    </row>
    <row r="9" spans="1:21" x14ac:dyDescent="0.2">
      <c r="E9">
        <v>14500</v>
      </c>
      <c r="F9">
        <v>0</v>
      </c>
      <c r="G9">
        <v>400</v>
      </c>
      <c r="H9">
        <f t="shared" si="0"/>
        <v>400</v>
      </c>
      <c r="I9" s="36">
        <f t="shared" si="1"/>
        <v>30000</v>
      </c>
      <c r="J9" s="38">
        <f t="shared" si="2"/>
        <v>-12360</v>
      </c>
      <c r="P9">
        <v>14500</v>
      </c>
      <c r="Q9">
        <v>0</v>
      </c>
      <c r="R9">
        <v>300</v>
      </c>
      <c r="S9">
        <f t="shared" si="3"/>
        <v>300</v>
      </c>
      <c r="T9" s="36">
        <f t="shared" si="4"/>
        <v>22500</v>
      </c>
      <c r="U9" s="38">
        <f t="shared" si="5"/>
        <v>-12844</v>
      </c>
    </row>
    <row r="10" spans="1:21" x14ac:dyDescent="0.2">
      <c r="E10">
        <v>14600</v>
      </c>
      <c r="F10">
        <v>0</v>
      </c>
      <c r="G10">
        <v>300</v>
      </c>
      <c r="H10">
        <f t="shared" si="0"/>
        <v>300</v>
      </c>
      <c r="I10" s="36">
        <f t="shared" si="1"/>
        <v>22500</v>
      </c>
      <c r="J10" s="38">
        <f t="shared" si="2"/>
        <v>-19860</v>
      </c>
      <c r="P10">
        <v>14600</v>
      </c>
      <c r="Q10">
        <v>0</v>
      </c>
      <c r="R10">
        <v>200</v>
      </c>
      <c r="S10">
        <f t="shared" si="3"/>
        <v>200</v>
      </c>
      <c r="T10" s="36">
        <f t="shared" si="4"/>
        <v>15000</v>
      </c>
      <c r="U10" s="38">
        <f t="shared" si="5"/>
        <v>-20344</v>
      </c>
    </row>
    <row r="11" spans="1:21" x14ac:dyDescent="0.2">
      <c r="E11">
        <v>14700</v>
      </c>
      <c r="F11">
        <v>0</v>
      </c>
      <c r="G11">
        <v>200</v>
      </c>
      <c r="H11">
        <f t="shared" si="0"/>
        <v>200</v>
      </c>
      <c r="I11" s="36">
        <f t="shared" si="1"/>
        <v>15000</v>
      </c>
      <c r="J11" s="38">
        <f t="shared" si="2"/>
        <v>-27360</v>
      </c>
      <c r="P11">
        <v>14700</v>
      </c>
      <c r="Q11">
        <v>0</v>
      </c>
      <c r="R11">
        <v>100</v>
      </c>
      <c r="S11">
        <f t="shared" si="3"/>
        <v>100</v>
      </c>
      <c r="T11" s="36">
        <f t="shared" si="4"/>
        <v>7500</v>
      </c>
      <c r="U11" s="38">
        <f t="shared" si="5"/>
        <v>-27844</v>
      </c>
    </row>
    <row r="12" spans="1:21" x14ac:dyDescent="0.2">
      <c r="E12">
        <v>14800</v>
      </c>
      <c r="F12">
        <v>0</v>
      </c>
      <c r="G12">
        <v>100</v>
      </c>
      <c r="H12">
        <f t="shared" si="0"/>
        <v>100</v>
      </c>
      <c r="I12" s="36">
        <f t="shared" si="1"/>
        <v>7500</v>
      </c>
      <c r="J12" s="38">
        <f t="shared" si="2"/>
        <v>-34860</v>
      </c>
      <c r="P12">
        <v>14800</v>
      </c>
      <c r="Q12">
        <v>0</v>
      </c>
      <c r="R12">
        <v>0</v>
      </c>
      <c r="S12">
        <f t="shared" si="3"/>
        <v>0</v>
      </c>
      <c r="T12" s="36">
        <f t="shared" si="4"/>
        <v>0</v>
      </c>
      <c r="U12" s="38">
        <f t="shared" si="5"/>
        <v>-35344</v>
      </c>
    </row>
    <row r="13" spans="1:21" x14ac:dyDescent="0.2">
      <c r="E13" s="34">
        <v>14900</v>
      </c>
      <c r="F13" s="34">
        <v>0</v>
      </c>
      <c r="G13" s="34">
        <v>0</v>
      </c>
      <c r="H13" s="34">
        <f t="shared" si="0"/>
        <v>0</v>
      </c>
      <c r="I13" s="39">
        <f t="shared" si="1"/>
        <v>0</v>
      </c>
      <c r="J13" s="38">
        <f t="shared" si="2"/>
        <v>-42360</v>
      </c>
      <c r="P13" s="34">
        <v>14900</v>
      </c>
      <c r="Q13" s="34">
        <v>0</v>
      </c>
      <c r="R13" s="34">
        <v>0</v>
      </c>
      <c r="S13" s="34">
        <f t="shared" si="3"/>
        <v>0</v>
      </c>
      <c r="T13" s="39">
        <f t="shared" si="4"/>
        <v>0</v>
      </c>
      <c r="U13" s="38">
        <f t="shared" si="5"/>
        <v>-35344</v>
      </c>
    </row>
    <row r="14" spans="1:21" x14ac:dyDescent="0.2">
      <c r="E14">
        <v>15000</v>
      </c>
      <c r="F14">
        <v>100</v>
      </c>
      <c r="G14">
        <v>0</v>
      </c>
      <c r="H14">
        <f t="shared" si="0"/>
        <v>100</v>
      </c>
      <c r="I14" s="36">
        <f t="shared" si="1"/>
        <v>7500</v>
      </c>
      <c r="J14" s="38">
        <f t="shared" si="2"/>
        <v>-34860</v>
      </c>
      <c r="P14">
        <v>15000</v>
      </c>
      <c r="Q14">
        <v>0</v>
      </c>
      <c r="R14">
        <v>0</v>
      </c>
      <c r="S14">
        <f t="shared" si="3"/>
        <v>0</v>
      </c>
      <c r="T14" s="36">
        <f t="shared" si="4"/>
        <v>0</v>
      </c>
      <c r="U14" s="38">
        <f t="shared" si="5"/>
        <v>-35344</v>
      </c>
    </row>
    <row r="15" spans="1:21" x14ac:dyDescent="0.2">
      <c r="E15">
        <v>15100</v>
      </c>
      <c r="F15">
        <v>200</v>
      </c>
      <c r="G15">
        <v>0</v>
      </c>
      <c r="H15">
        <f t="shared" si="0"/>
        <v>200</v>
      </c>
      <c r="I15" s="36">
        <f t="shared" si="1"/>
        <v>15000</v>
      </c>
      <c r="J15" s="38">
        <f t="shared" si="2"/>
        <v>-27360</v>
      </c>
      <c r="P15">
        <v>15100</v>
      </c>
      <c r="Q15">
        <v>100</v>
      </c>
      <c r="R15">
        <v>0</v>
      </c>
      <c r="S15">
        <f t="shared" si="3"/>
        <v>100</v>
      </c>
      <c r="T15" s="36">
        <f t="shared" si="4"/>
        <v>7500</v>
      </c>
      <c r="U15" s="38">
        <f t="shared" si="5"/>
        <v>-27844</v>
      </c>
    </row>
    <row r="16" spans="1:21" x14ac:dyDescent="0.2">
      <c r="E16">
        <v>15200</v>
      </c>
      <c r="F16">
        <v>300</v>
      </c>
      <c r="G16">
        <v>0</v>
      </c>
      <c r="H16">
        <f t="shared" si="0"/>
        <v>300</v>
      </c>
      <c r="I16" s="36">
        <f t="shared" si="1"/>
        <v>22500</v>
      </c>
      <c r="J16" s="38">
        <f t="shared" si="2"/>
        <v>-19860</v>
      </c>
      <c r="P16">
        <v>15200</v>
      </c>
      <c r="Q16">
        <v>200</v>
      </c>
      <c r="R16">
        <v>0</v>
      </c>
      <c r="S16">
        <f t="shared" si="3"/>
        <v>200</v>
      </c>
      <c r="T16" s="36">
        <f t="shared" si="4"/>
        <v>15000</v>
      </c>
      <c r="U16" s="38">
        <f t="shared" si="5"/>
        <v>-20344</v>
      </c>
    </row>
    <row r="17" spans="5:21" x14ac:dyDescent="0.2">
      <c r="E17">
        <v>15300</v>
      </c>
      <c r="F17">
        <v>400</v>
      </c>
      <c r="G17">
        <v>0</v>
      </c>
      <c r="H17">
        <f t="shared" si="0"/>
        <v>400</v>
      </c>
      <c r="I17" s="36">
        <f t="shared" si="1"/>
        <v>30000</v>
      </c>
      <c r="J17" s="38">
        <f t="shared" si="2"/>
        <v>-12360</v>
      </c>
      <c r="P17">
        <v>15300</v>
      </c>
      <c r="Q17">
        <v>300</v>
      </c>
      <c r="R17">
        <v>0</v>
      </c>
      <c r="S17">
        <f t="shared" si="3"/>
        <v>300</v>
      </c>
      <c r="T17" s="36">
        <f t="shared" si="4"/>
        <v>22500</v>
      </c>
      <c r="U17" s="38">
        <f t="shared" si="5"/>
        <v>-12844</v>
      </c>
    </row>
    <row r="18" spans="5:21" x14ac:dyDescent="0.2">
      <c r="E18">
        <v>15400</v>
      </c>
      <c r="F18">
        <v>500</v>
      </c>
      <c r="G18">
        <v>0</v>
      </c>
      <c r="H18">
        <f t="shared" si="0"/>
        <v>500</v>
      </c>
      <c r="I18" s="36">
        <f t="shared" si="1"/>
        <v>37500</v>
      </c>
      <c r="J18" s="38">
        <f t="shared" si="2"/>
        <v>-4860</v>
      </c>
      <c r="P18">
        <v>15400</v>
      </c>
      <c r="Q18">
        <v>400</v>
      </c>
      <c r="R18">
        <v>0</v>
      </c>
      <c r="S18">
        <f t="shared" si="3"/>
        <v>400</v>
      </c>
      <c r="T18" s="36">
        <f t="shared" si="4"/>
        <v>30000</v>
      </c>
      <c r="U18" s="38">
        <f t="shared" si="5"/>
        <v>-5344</v>
      </c>
    </row>
    <row r="19" spans="5:21" x14ac:dyDescent="0.2">
      <c r="E19">
        <v>15500</v>
      </c>
      <c r="F19">
        <v>600</v>
      </c>
      <c r="G19">
        <v>0</v>
      </c>
      <c r="H19">
        <f t="shared" si="0"/>
        <v>600</v>
      </c>
      <c r="I19" s="36">
        <f t="shared" si="1"/>
        <v>45000</v>
      </c>
      <c r="J19" s="37">
        <f t="shared" si="2"/>
        <v>2640</v>
      </c>
      <c r="P19">
        <v>15500</v>
      </c>
      <c r="Q19">
        <v>500</v>
      </c>
      <c r="R19">
        <v>0</v>
      </c>
      <c r="S19">
        <f t="shared" si="3"/>
        <v>500</v>
      </c>
      <c r="T19" s="36">
        <f t="shared" si="4"/>
        <v>37500</v>
      </c>
      <c r="U19" s="37">
        <f t="shared" si="5"/>
        <v>2156</v>
      </c>
    </row>
    <row r="20" spans="5:21" x14ac:dyDescent="0.2">
      <c r="E20">
        <v>15600</v>
      </c>
      <c r="F20">
        <v>700</v>
      </c>
      <c r="G20">
        <v>0</v>
      </c>
      <c r="H20">
        <f t="shared" si="0"/>
        <v>700</v>
      </c>
      <c r="I20" s="36">
        <f t="shared" si="1"/>
        <v>52500</v>
      </c>
      <c r="J20" s="37">
        <f t="shared" si="2"/>
        <v>10140</v>
      </c>
      <c r="P20">
        <v>15600</v>
      </c>
      <c r="Q20">
        <v>600</v>
      </c>
      <c r="R20">
        <v>0</v>
      </c>
      <c r="S20">
        <f t="shared" si="3"/>
        <v>600</v>
      </c>
      <c r="T20" s="36">
        <f t="shared" si="4"/>
        <v>45000</v>
      </c>
      <c r="U20" s="37">
        <f t="shared" si="5"/>
        <v>9656</v>
      </c>
    </row>
    <row r="21" spans="5:21" x14ac:dyDescent="0.2">
      <c r="E21">
        <v>15700</v>
      </c>
      <c r="F21">
        <v>800</v>
      </c>
      <c r="G21">
        <v>0</v>
      </c>
      <c r="H21">
        <f t="shared" si="0"/>
        <v>800</v>
      </c>
      <c r="I21" s="36">
        <f t="shared" si="1"/>
        <v>60000</v>
      </c>
      <c r="J21" s="37">
        <f t="shared" si="2"/>
        <v>17640</v>
      </c>
      <c r="P21">
        <v>15700</v>
      </c>
      <c r="Q21">
        <v>700</v>
      </c>
      <c r="R21">
        <v>0</v>
      </c>
      <c r="S21">
        <f t="shared" si="3"/>
        <v>700</v>
      </c>
      <c r="T21" s="36">
        <f t="shared" si="4"/>
        <v>52500</v>
      </c>
      <c r="U21" s="37">
        <f t="shared" si="5"/>
        <v>17156</v>
      </c>
    </row>
  </sheetData>
  <mergeCells count="2">
    <mergeCell ref="A2:J2"/>
    <mergeCell ref="L2:U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D94B-6B40-A745-9C3A-815A885E6FD2}">
  <dimension ref="C5:F18"/>
  <sheetViews>
    <sheetView tabSelected="1" zoomScale="120" zoomScaleNormal="120" workbookViewId="0">
      <selection activeCell="J13" sqref="J13"/>
    </sheetView>
  </sheetViews>
  <sheetFormatPr baseColWidth="10" defaultRowHeight="16" x14ac:dyDescent="0.2"/>
  <cols>
    <col min="3" max="3" width="22.5" customWidth="1"/>
    <col min="4" max="4" width="30.33203125" customWidth="1"/>
    <col min="5" max="5" width="29.5" customWidth="1"/>
    <col min="6" max="6" width="26.33203125" customWidth="1"/>
  </cols>
  <sheetData>
    <row r="5" spans="3:6" s="52" customFormat="1" ht="20" x14ac:dyDescent="0.25">
      <c r="C5" s="55" t="s">
        <v>60</v>
      </c>
      <c r="D5" s="55" t="s">
        <v>66</v>
      </c>
      <c r="E5" s="55" t="s">
        <v>61</v>
      </c>
      <c r="F5" s="55" t="s">
        <v>62</v>
      </c>
    </row>
    <row r="7" spans="3:6" ht="19" x14ac:dyDescent="0.25">
      <c r="C7" s="54" t="s">
        <v>71</v>
      </c>
      <c r="D7" s="52" t="s">
        <v>75</v>
      </c>
      <c r="E7" s="53" t="s">
        <v>77</v>
      </c>
      <c r="F7" s="53" t="s">
        <v>78</v>
      </c>
    </row>
    <row r="8" spans="3:6" ht="19" x14ac:dyDescent="0.25">
      <c r="C8" s="54" t="s">
        <v>72</v>
      </c>
      <c r="D8" s="52" t="s">
        <v>80</v>
      </c>
      <c r="E8" s="53" t="s">
        <v>81</v>
      </c>
      <c r="F8" s="53" t="s">
        <v>78</v>
      </c>
    </row>
    <row r="9" spans="3:6" ht="19" x14ac:dyDescent="0.25">
      <c r="C9" s="54" t="s">
        <v>73</v>
      </c>
      <c r="D9" s="52" t="s">
        <v>76</v>
      </c>
      <c r="E9" s="53" t="s">
        <v>79</v>
      </c>
      <c r="F9" s="53" t="s">
        <v>78</v>
      </c>
    </row>
    <row r="10" spans="3:6" ht="19" x14ac:dyDescent="0.25">
      <c r="C10" s="54" t="s">
        <v>74</v>
      </c>
      <c r="D10" s="52" t="s">
        <v>67</v>
      </c>
      <c r="E10" s="53" t="s">
        <v>82</v>
      </c>
      <c r="F10" s="53" t="s">
        <v>78</v>
      </c>
    </row>
    <row r="11" spans="3:6" ht="19" x14ac:dyDescent="0.25">
      <c r="C11" s="54" t="s">
        <v>63</v>
      </c>
      <c r="D11" s="52" t="s">
        <v>67</v>
      </c>
      <c r="E11" s="53" t="s">
        <v>64</v>
      </c>
      <c r="F11" s="53" t="s">
        <v>65</v>
      </c>
    </row>
    <row r="12" spans="3:6" ht="19" x14ac:dyDescent="0.25">
      <c r="C12" s="54" t="s">
        <v>68</v>
      </c>
      <c r="D12" s="52" t="s">
        <v>67</v>
      </c>
      <c r="E12" s="53" t="s">
        <v>69</v>
      </c>
      <c r="F12" s="53" t="s">
        <v>89</v>
      </c>
    </row>
    <row r="13" spans="3:6" ht="19" x14ac:dyDescent="0.25">
      <c r="C13" s="54" t="s">
        <v>83</v>
      </c>
      <c r="D13" s="52" t="s">
        <v>80</v>
      </c>
      <c r="E13" s="53" t="s">
        <v>87</v>
      </c>
      <c r="F13" s="53" t="s">
        <v>88</v>
      </c>
    </row>
    <row r="14" spans="3:6" ht="19" x14ac:dyDescent="0.25">
      <c r="C14" s="54" t="s">
        <v>84</v>
      </c>
      <c r="D14" s="52" t="s">
        <v>80</v>
      </c>
      <c r="E14" s="53" t="s">
        <v>86</v>
      </c>
      <c r="F14" s="53" t="s">
        <v>85</v>
      </c>
    </row>
    <row r="15" spans="3:6" ht="19" x14ac:dyDescent="0.25">
      <c r="C15" s="54" t="s">
        <v>90</v>
      </c>
      <c r="D15" s="52" t="s">
        <v>94</v>
      </c>
      <c r="E15" s="53" t="s">
        <v>64</v>
      </c>
      <c r="F15" s="53" t="s">
        <v>86</v>
      </c>
    </row>
    <row r="16" spans="3:6" ht="19" x14ac:dyDescent="0.25">
      <c r="C16" s="54" t="s">
        <v>91</v>
      </c>
      <c r="D16" s="52" t="s">
        <v>95</v>
      </c>
      <c r="E16" s="53" t="s">
        <v>98</v>
      </c>
      <c r="F16" s="53" t="s">
        <v>70</v>
      </c>
    </row>
    <row r="17" spans="3:6" ht="19" x14ac:dyDescent="0.25">
      <c r="C17" s="54" t="s">
        <v>92</v>
      </c>
      <c r="D17" s="52" t="s">
        <v>94</v>
      </c>
      <c r="E17" s="53" t="s">
        <v>96</v>
      </c>
      <c r="F17" s="53" t="s">
        <v>97</v>
      </c>
    </row>
    <row r="18" spans="3:6" ht="19" x14ac:dyDescent="0.25">
      <c r="C18" s="54" t="s">
        <v>93</v>
      </c>
      <c r="D18" s="52" t="s">
        <v>95</v>
      </c>
      <c r="E18" s="53" t="s">
        <v>99</v>
      </c>
      <c r="F18" s="53" t="s">
        <v>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38A62-3AC3-F843-A8D4-A58E565EA94A}">
  <dimension ref="D4:E18"/>
  <sheetViews>
    <sheetView zoomScale="110" zoomScaleNormal="110" workbookViewId="0">
      <selection activeCell="D26" sqref="D26"/>
    </sheetView>
  </sheetViews>
  <sheetFormatPr baseColWidth="10" defaultRowHeight="16" x14ac:dyDescent="0.2"/>
  <cols>
    <col min="4" max="4" width="61.1640625" customWidth="1"/>
    <col min="5" max="5" width="24.6640625" customWidth="1"/>
  </cols>
  <sheetData>
    <row r="4" spans="4:5" ht="17" thickBot="1" x14ac:dyDescent="0.25"/>
    <row r="5" spans="4:5" x14ac:dyDescent="0.2">
      <c r="D5" s="46" t="s">
        <v>13</v>
      </c>
      <c r="E5" s="47"/>
    </row>
    <row r="6" spans="4:5" x14ac:dyDescent="0.2">
      <c r="D6" s="48"/>
      <c r="E6" s="49"/>
    </row>
    <row r="7" spans="4:5" ht="17" thickBot="1" x14ac:dyDescent="0.25">
      <c r="D7" s="50"/>
      <c r="E7" s="51"/>
    </row>
    <row r="8" spans="4:5" ht="22" thickBot="1" x14ac:dyDescent="0.3">
      <c r="D8" s="5" t="s">
        <v>14</v>
      </c>
      <c r="E8" s="6">
        <v>26</v>
      </c>
    </row>
    <row r="9" spans="4:5" ht="22" thickBot="1" x14ac:dyDescent="0.25">
      <c r="D9" s="7" t="s">
        <v>15</v>
      </c>
      <c r="E9" s="8">
        <v>50000</v>
      </c>
    </row>
    <row r="10" spans="4:5" ht="22" thickBot="1" x14ac:dyDescent="0.25">
      <c r="D10" s="5" t="s">
        <v>16</v>
      </c>
      <c r="E10" s="9">
        <v>60</v>
      </c>
    </row>
    <row r="11" spans="4:5" ht="22" thickBot="1" x14ac:dyDescent="0.25">
      <c r="D11" s="5" t="s">
        <v>17</v>
      </c>
      <c r="E11" s="10">
        <f>E10-E8</f>
        <v>34</v>
      </c>
    </row>
    <row r="12" spans="4:5" ht="22" thickBot="1" x14ac:dyDescent="0.25">
      <c r="D12" s="5" t="s">
        <v>18</v>
      </c>
      <c r="E12" s="9">
        <v>70</v>
      </c>
    </row>
    <row r="13" spans="4:5" ht="22" thickBot="1" x14ac:dyDescent="0.25">
      <c r="D13" s="5" t="s">
        <v>19</v>
      </c>
      <c r="E13" s="11">
        <v>0.7</v>
      </c>
    </row>
    <row r="14" spans="4:5" ht="22" thickBot="1" x14ac:dyDescent="0.3">
      <c r="D14" s="12" t="s">
        <v>20</v>
      </c>
      <c r="E14" s="13">
        <v>7.4999999999999997E-2</v>
      </c>
    </row>
    <row r="15" spans="4:5" ht="22" thickBot="1" x14ac:dyDescent="0.3">
      <c r="D15" s="14" t="s">
        <v>21</v>
      </c>
      <c r="E15" s="15">
        <f>(FV(E14,E11, ,-E9))*E13</f>
        <v>409219.03688479384</v>
      </c>
    </row>
    <row r="16" spans="4:5" ht="22" thickBot="1" x14ac:dyDescent="0.25">
      <c r="D16" s="5" t="s">
        <v>22</v>
      </c>
      <c r="E16" s="10">
        <f>E12-E10</f>
        <v>10</v>
      </c>
    </row>
    <row r="17" spans="4:5" ht="22" thickBot="1" x14ac:dyDescent="0.3">
      <c r="D17" s="5" t="s">
        <v>23</v>
      </c>
      <c r="E17" s="16">
        <v>0.1</v>
      </c>
    </row>
    <row r="18" spans="4:5" ht="22" thickBot="1" x14ac:dyDescent="0.3">
      <c r="D18" s="14" t="s">
        <v>24</v>
      </c>
      <c r="E18" s="15">
        <f>PV((E17-E14)/12,E16*12,-E15, ,1)</f>
        <v>43499735.242404155</v>
      </c>
    </row>
  </sheetData>
  <mergeCells count="1">
    <mergeCell ref="D5:E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CBB51-4AF3-FD4B-A043-A4621ACBF22E}">
  <dimension ref="C4:I17"/>
  <sheetViews>
    <sheetView zoomScale="130" zoomScaleNormal="130" workbookViewId="0">
      <selection activeCell="I12" sqref="I12"/>
    </sheetView>
  </sheetViews>
  <sheetFormatPr baseColWidth="10" defaultRowHeight="16" x14ac:dyDescent="0.2"/>
  <cols>
    <col min="3" max="3" width="19" customWidth="1"/>
    <col min="4" max="4" width="21.5" customWidth="1"/>
    <col min="5" max="5" width="16" customWidth="1"/>
    <col min="9" max="9" width="34.6640625" customWidth="1"/>
  </cols>
  <sheetData>
    <row r="4" spans="3:9" ht="21" x14ac:dyDescent="0.25">
      <c r="C4" s="17" t="s">
        <v>25</v>
      </c>
    </row>
    <row r="7" spans="3:9" ht="19" x14ac:dyDescent="0.25">
      <c r="D7" s="4" t="s">
        <v>26</v>
      </c>
      <c r="E7" s="4">
        <v>100000</v>
      </c>
      <c r="I7" s="19" t="s">
        <v>31</v>
      </c>
    </row>
    <row r="8" spans="3:9" ht="19" x14ac:dyDescent="0.25">
      <c r="D8" s="4" t="s">
        <v>27</v>
      </c>
      <c r="E8" s="18">
        <v>0.15</v>
      </c>
    </row>
    <row r="9" spans="3:9" ht="19" x14ac:dyDescent="0.25">
      <c r="D9" s="4" t="s">
        <v>28</v>
      </c>
      <c r="E9" s="4">
        <v>20</v>
      </c>
    </row>
    <row r="12" spans="3:9" ht="19" x14ac:dyDescent="0.25">
      <c r="C12" s="21" t="s">
        <v>29</v>
      </c>
      <c r="D12" s="4" t="s">
        <v>30</v>
      </c>
      <c r="E12" s="18">
        <v>0</v>
      </c>
    </row>
    <row r="13" spans="3:9" ht="19" x14ac:dyDescent="0.25">
      <c r="C13" s="4"/>
      <c r="D13" s="4" t="s">
        <v>33</v>
      </c>
      <c r="E13" s="22">
        <f>(E7*(1+(E8-E12))^E9)</f>
        <v>1636653.7392946081</v>
      </c>
    </row>
    <row r="14" spans="3:9" ht="19" x14ac:dyDescent="0.25">
      <c r="C14" s="4"/>
      <c r="D14" s="4"/>
      <c r="E14" s="4"/>
    </row>
    <row r="15" spans="3:9" ht="19" x14ac:dyDescent="0.25">
      <c r="C15" s="4"/>
      <c r="D15" s="4"/>
      <c r="E15" s="4"/>
    </row>
    <row r="16" spans="3:9" ht="19" x14ac:dyDescent="0.25">
      <c r="C16" s="21" t="s">
        <v>32</v>
      </c>
      <c r="D16" s="4" t="s">
        <v>30</v>
      </c>
      <c r="E16" s="18">
        <v>0.01</v>
      </c>
    </row>
    <row r="17" spans="3:5" ht="19" x14ac:dyDescent="0.25">
      <c r="C17" s="4"/>
      <c r="D17" s="4" t="s">
        <v>33</v>
      </c>
      <c r="E17" s="20">
        <f>(E7*(1+(E8-E16))^E9)</f>
        <v>1374348.9871854982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2EF3C-66FF-F748-9EAF-0DCFFFC78FCB}">
  <dimension ref="C2:G29"/>
  <sheetViews>
    <sheetView zoomScale="140" zoomScaleNormal="140" workbookViewId="0">
      <selection activeCell="J15" sqref="J15"/>
    </sheetView>
  </sheetViews>
  <sheetFormatPr baseColWidth="10" defaultRowHeight="16" x14ac:dyDescent="0.2"/>
  <cols>
    <col min="3" max="3" width="11.83203125" customWidth="1"/>
    <col min="4" max="4" width="15" customWidth="1"/>
    <col min="7" max="7" width="14.1640625" customWidth="1"/>
  </cols>
  <sheetData>
    <row r="2" spans="3:7" s="1" customFormat="1" x14ac:dyDescent="0.2">
      <c r="C2" s="25" t="s">
        <v>35</v>
      </c>
      <c r="D2" s="25" t="s">
        <v>36</v>
      </c>
      <c r="F2" s="25" t="s">
        <v>35</v>
      </c>
      <c r="G2" s="25" t="s">
        <v>36</v>
      </c>
    </row>
    <row r="4" spans="3:7" s="1" customFormat="1" x14ac:dyDescent="0.2">
      <c r="C4" s="27" t="s">
        <v>38</v>
      </c>
      <c r="F4" s="27" t="s">
        <v>37</v>
      </c>
    </row>
    <row r="6" spans="3:7" x14ac:dyDescent="0.2">
      <c r="C6" s="23">
        <v>43665</v>
      </c>
      <c r="D6">
        <v>-3500</v>
      </c>
      <c r="F6" s="23">
        <v>43665</v>
      </c>
      <c r="G6">
        <v>-3500</v>
      </c>
    </row>
    <row r="7" spans="3:7" x14ac:dyDescent="0.2">
      <c r="C7" s="24">
        <v>43718</v>
      </c>
      <c r="D7">
        <v>-3500</v>
      </c>
      <c r="F7" s="24">
        <v>43718</v>
      </c>
      <c r="G7">
        <v>-3500</v>
      </c>
    </row>
    <row r="8" spans="3:7" x14ac:dyDescent="0.2">
      <c r="C8" s="24">
        <v>43747</v>
      </c>
      <c r="D8">
        <v>-3500</v>
      </c>
      <c r="F8" s="24">
        <v>43747</v>
      </c>
      <c r="G8">
        <v>-3500</v>
      </c>
    </row>
    <row r="9" spans="3:7" x14ac:dyDescent="0.2">
      <c r="C9" s="24">
        <v>43778</v>
      </c>
      <c r="D9">
        <v>-3500</v>
      </c>
      <c r="F9" s="24">
        <v>43778</v>
      </c>
      <c r="G9">
        <v>-3500</v>
      </c>
    </row>
    <row r="10" spans="3:7" x14ac:dyDescent="0.2">
      <c r="C10" s="24">
        <v>43808</v>
      </c>
      <c r="D10">
        <v>-3500</v>
      </c>
      <c r="F10" s="24">
        <v>43808</v>
      </c>
      <c r="G10">
        <v>-3500</v>
      </c>
    </row>
    <row r="11" spans="3:7" x14ac:dyDescent="0.2">
      <c r="C11" s="24">
        <v>43839</v>
      </c>
      <c r="D11">
        <v>-3500</v>
      </c>
      <c r="F11" s="24">
        <v>43839</v>
      </c>
      <c r="G11">
        <v>-3500</v>
      </c>
    </row>
    <row r="12" spans="3:7" x14ac:dyDescent="0.2">
      <c r="C12" s="24">
        <v>43870</v>
      </c>
      <c r="D12">
        <v>-3500</v>
      </c>
      <c r="F12" s="24">
        <v>43870</v>
      </c>
      <c r="G12">
        <v>-3500</v>
      </c>
    </row>
    <row r="13" spans="3:7" x14ac:dyDescent="0.2">
      <c r="C13" s="24">
        <v>43899</v>
      </c>
      <c r="D13">
        <v>-3500</v>
      </c>
      <c r="F13" s="24">
        <v>43899</v>
      </c>
      <c r="G13">
        <v>-3500</v>
      </c>
    </row>
    <row r="14" spans="3:7" x14ac:dyDescent="0.2">
      <c r="C14" s="24">
        <v>43930</v>
      </c>
      <c r="D14">
        <v>-5000</v>
      </c>
      <c r="F14" s="24">
        <v>43930</v>
      </c>
      <c r="G14">
        <v>-5000</v>
      </c>
    </row>
    <row r="15" spans="3:7" x14ac:dyDescent="0.2">
      <c r="C15" s="24">
        <v>43962</v>
      </c>
      <c r="D15">
        <v>-5000</v>
      </c>
      <c r="F15" s="24">
        <v>43962</v>
      </c>
      <c r="G15">
        <v>-5000</v>
      </c>
    </row>
    <row r="16" spans="3:7" x14ac:dyDescent="0.2">
      <c r="C16" s="24">
        <v>43991</v>
      </c>
      <c r="D16">
        <v>-5000</v>
      </c>
      <c r="F16" s="24">
        <v>43991</v>
      </c>
      <c r="G16">
        <v>-5000</v>
      </c>
    </row>
    <row r="17" spans="3:7" x14ac:dyDescent="0.2">
      <c r="C17" s="24">
        <v>44021</v>
      </c>
      <c r="D17">
        <v>-5000</v>
      </c>
      <c r="F17" s="24">
        <v>44021</v>
      </c>
      <c r="G17">
        <v>-5000</v>
      </c>
    </row>
    <row r="18" spans="3:7" x14ac:dyDescent="0.2">
      <c r="C18" s="24">
        <v>44051</v>
      </c>
      <c r="D18">
        <v>-5000</v>
      </c>
      <c r="F18" s="24">
        <v>44051</v>
      </c>
      <c r="G18">
        <v>-5000</v>
      </c>
    </row>
    <row r="19" spans="3:7" x14ac:dyDescent="0.2">
      <c r="C19" s="24">
        <v>44084</v>
      </c>
      <c r="D19">
        <v>-5000</v>
      </c>
      <c r="F19" s="24">
        <v>44084</v>
      </c>
      <c r="G19">
        <v>-5000</v>
      </c>
    </row>
    <row r="20" spans="3:7" x14ac:dyDescent="0.2">
      <c r="C20" s="24">
        <v>44113</v>
      </c>
      <c r="D20">
        <v>-5000</v>
      </c>
      <c r="F20" s="24">
        <v>44113</v>
      </c>
      <c r="G20">
        <v>-5000</v>
      </c>
    </row>
    <row r="21" spans="3:7" x14ac:dyDescent="0.2">
      <c r="C21" s="24">
        <v>44144</v>
      </c>
      <c r="D21">
        <v>-5000</v>
      </c>
      <c r="F21" s="24">
        <v>44144</v>
      </c>
      <c r="G21">
        <v>-5000</v>
      </c>
    </row>
    <row r="22" spans="3:7" x14ac:dyDescent="0.2">
      <c r="C22" s="24">
        <v>44175</v>
      </c>
      <c r="D22">
        <v>-5000</v>
      </c>
      <c r="F22" s="24">
        <v>44175</v>
      </c>
      <c r="G22">
        <v>-5000</v>
      </c>
    </row>
    <row r="23" spans="3:7" x14ac:dyDescent="0.2">
      <c r="C23" s="24">
        <v>44205</v>
      </c>
      <c r="D23">
        <v>-5000</v>
      </c>
      <c r="F23" s="24">
        <v>44205</v>
      </c>
      <c r="G23">
        <v>-5000</v>
      </c>
    </row>
    <row r="24" spans="3:7" x14ac:dyDescent="0.2">
      <c r="C24" s="24">
        <v>44236</v>
      </c>
      <c r="D24">
        <v>-5000</v>
      </c>
      <c r="F24" s="24">
        <v>44236</v>
      </c>
      <c r="G24">
        <v>-5000</v>
      </c>
    </row>
    <row r="25" spans="3:7" x14ac:dyDescent="0.2">
      <c r="C25" s="24">
        <v>44264</v>
      </c>
      <c r="D25">
        <v>-5000</v>
      </c>
      <c r="F25" s="24">
        <v>44264</v>
      </c>
      <c r="G25">
        <v>-5000</v>
      </c>
    </row>
    <row r="26" spans="3:7" x14ac:dyDescent="0.2">
      <c r="C26" s="24">
        <v>44287</v>
      </c>
      <c r="D26">
        <v>112299</v>
      </c>
      <c r="F26" s="24">
        <v>44287</v>
      </c>
      <c r="G26">
        <v>121910</v>
      </c>
    </row>
    <row r="27" spans="3:7" x14ac:dyDescent="0.2">
      <c r="C27" s="24"/>
      <c r="F27" s="24"/>
    </row>
    <row r="28" spans="3:7" s="1" customFormat="1" x14ac:dyDescent="0.2">
      <c r="C28" s="28" t="s">
        <v>34</v>
      </c>
      <c r="D28" s="26">
        <f>XIRR(D6:D26,C6:C26)</f>
        <v>0.34655593037605292</v>
      </c>
      <c r="F28" s="28" t="s">
        <v>34</v>
      </c>
      <c r="G28" s="26">
        <f>XIRR(G6:G26,F6:F26)</f>
        <v>0.48079140782356256</v>
      </c>
    </row>
    <row r="29" spans="3:7" x14ac:dyDescent="0.2">
      <c r="F29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Futures</vt:lpstr>
      <vt:lpstr>Options</vt:lpstr>
      <vt:lpstr>Straddle vs Strangle</vt:lpstr>
      <vt:lpstr>Options Strategy</vt:lpstr>
      <vt:lpstr>Retirement</vt:lpstr>
      <vt:lpstr>Expense Ratio</vt:lpstr>
      <vt:lpstr>XIIR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2021-03-30T19:19:29Z</dcterms:created>
  <dcterms:modified xsi:type="dcterms:W3CDTF">2021-04-09T08:34:44Z</dcterms:modified>
</cp:coreProperties>
</file>