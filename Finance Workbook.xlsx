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18374AE1-8899-D149-9786-C805BCA77984}" xr6:coauthVersionLast="46" xr6:coauthVersionMax="46" xr10:uidLastSave="{00000000-0000-0000-0000-000000000000}"/>
  <bookViews>
    <workbookView xWindow="0" yWindow="500" windowWidth="32680" windowHeight="17440" activeTab="3" xr2:uid="{CF95B6ED-2F58-514F-A8C4-FDA980CA2995}"/>
  </bookViews>
  <sheets>
    <sheet name="Futures" sheetId="7" r:id="rId1"/>
    <sheet name="Options" sheetId="1" r:id="rId2"/>
    <sheet name="Straddle vs Strangle" sheetId="8" r:id="rId3"/>
    <sheet name="Options Strategy" sheetId="9" r:id="rId4"/>
    <sheet name="Retirement" sheetId="4" r:id="rId5"/>
    <sheet name="Expense Ratio" sheetId="5" r:id="rId6"/>
    <sheet name="XIIR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1" l="1"/>
  <c r="J13" i="1" s="1"/>
  <c r="K13" i="1" s="1"/>
  <c r="U7" i="8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E18" i="4" l="1"/>
</calcChain>
</file>

<file path=xl/sharedStrings.xml><?xml version="1.0" encoding="utf-8"?>
<sst xmlns="http://schemas.openxmlformats.org/spreadsheetml/2006/main" count="127" uniqueCount="98">
  <si>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</si>
  <si>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</si>
  <si>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</si>
  <si>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</si>
  <si>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</si>
  <si>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</si>
  <si>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</si>
  <si>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</si>
  <si>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</si>
  <si>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</si>
  <si>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</si>
  <si>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</si>
  <si>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</si>
  <si>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</si>
  <si>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</si>
  <si>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</si>
  <si>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</si>
  <si>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</si>
  <si>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</si>
  <si>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</si>
  <si>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</si>
  <si>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</si>
  <si>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</si>
  <si>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</si>
  <si>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</si>
  <si>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</si>
  <si>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</si>
  <si>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</si>
  <si>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</si>
  <si>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</si>
  <si>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</si>
  <si>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</si>
  <si>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</si>
  <si>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</si>
  <si>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</si>
  <si>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</si>
  <si>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</si>
  <si>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</si>
  <si>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</si>
  <si>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</si>
  <si>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</si>
  <si>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</si>
  <si>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</si>
  <si>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</si>
  <si>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</si>
  <si>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</si>
  <si>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</si>
  <si>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</si>
  <si>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</si>
  <si>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</si>
  <si>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</si>
  <si>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</si>
  <si>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</si>
  <si>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</si>
  <si>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</si>
  <si>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</si>
  <si>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</si>
  <si>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</si>
  <si>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</si>
  <si>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</si>
  <si>
    <t>Options Strategy</t>
  </si>
  <si>
    <t>1st leg</t>
  </si>
  <si>
    <t>2nd leg</t>
  </si>
  <si>
    <t>Bull CALL spread</t>
  </si>
  <si>
    <t>Buy CE ATM</t>
  </si>
  <si>
    <t>Sell CE slight OTM</t>
  </si>
  <si>
    <t>Strategy profile</t>
  </si>
  <si>
    <t>Bullish</t>
  </si>
  <si>
    <t>Bull PUT spread</t>
  </si>
  <si>
    <t>Buy PE OTM</t>
  </si>
  <si>
    <t>Sell PE ATM</t>
  </si>
  <si>
    <t>Buy CALL</t>
  </si>
  <si>
    <t>Sell CALL</t>
  </si>
  <si>
    <t>Buy PUT</t>
  </si>
  <si>
    <t>Sell PUT</t>
  </si>
  <si>
    <t>Very Bullish</t>
  </si>
  <si>
    <t>Very Bearish</t>
  </si>
  <si>
    <t>Buy ATM or slight OTM CE</t>
  </si>
  <si>
    <t>Nil</t>
  </si>
  <si>
    <t>Buy ATM or slight OTM PE</t>
  </si>
  <si>
    <t>Bearish</t>
  </si>
  <si>
    <t>Sell far OTM CE</t>
  </si>
  <si>
    <t>Sell far OTM PE</t>
  </si>
  <si>
    <t>Bear CALL spread</t>
  </si>
  <si>
    <t>Bear PUT spread</t>
  </si>
  <si>
    <t>Sell PE slight OTM</t>
  </si>
  <si>
    <t>Buy PE ATM</t>
  </si>
  <si>
    <t>Buy CE OTM</t>
  </si>
  <si>
    <t>Long Straddle</t>
  </si>
  <si>
    <t>Short Straddle</t>
  </si>
  <si>
    <t>Long Strangle</t>
  </si>
  <si>
    <t>Short Strangle</t>
  </si>
  <si>
    <t>Very "Bullish or Bearish"</t>
  </si>
  <si>
    <t>NOT Very "Bullish or Bearish"</t>
  </si>
  <si>
    <t xml:space="preserve">Buy CE slight OTM </t>
  </si>
  <si>
    <t>Buy PE slight OTM</t>
  </si>
  <si>
    <t>Sell CE ATM</t>
  </si>
  <si>
    <t xml:space="preserve">Sell CE slight OTM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</si>
</sst>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14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</cellXfs>
  <cellStyles count="4">
    <cellStyle name="Bad" xfId="3" builtinId="27"/>
    <cellStyle name="Currency" xfId="2" builtinId="4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46" t="s">
        <v>43</v>
      </c>
      <c r="C3" s="46"/>
      <c r="D3" s="46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3"/>
  <sheetViews>
    <sheetView zoomScale="140" zoomScaleNormal="140" workbookViewId="0">
      <selection activeCell="G16" sqref="G16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47" t="s">
        <v>12</v>
      </c>
      <c r="D2" s="47"/>
      <c r="E2" s="47"/>
      <c r="F2" s="47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  <row r="13" spans="3:11" x14ac:dyDescent="0.2">
      <c r="E13">
        <v>33300</v>
      </c>
      <c r="F13">
        <v>0.31</v>
      </c>
      <c r="G13">
        <v>400</v>
      </c>
      <c r="H13">
        <v>240</v>
      </c>
      <c r="I13">
        <f>G13*F13</f>
        <v>124</v>
      </c>
      <c r="J13">
        <f>I13+H13</f>
        <v>364</v>
      </c>
      <c r="K13" s="3">
        <f>(J13-H13)/H13</f>
        <v>0.51666666666666672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D29" sqref="D2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48" t="s">
        <v>44</v>
      </c>
      <c r="B2" s="48"/>
      <c r="C2" s="48"/>
      <c r="D2" s="48"/>
      <c r="E2" s="48"/>
      <c r="F2" s="48"/>
      <c r="G2" s="48"/>
      <c r="H2" s="48"/>
      <c r="I2" s="48"/>
      <c r="J2" s="48"/>
      <c r="L2" s="49" t="s">
        <v>54</v>
      </c>
      <c r="M2" s="49"/>
      <c r="N2" s="49"/>
      <c r="O2" s="49"/>
      <c r="P2" s="49"/>
      <c r="Q2" s="49"/>
      <c r="R2" s="49"/>
      <c r="S2" s="49"/>
      <c r="T2" s="49"/>
      <c r="U2" s="49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33" t="s">
        <v>45</v>
      </c>
      <c r="C4" s="33" t="s">
        <v>46</v>
      </c>
      <c r="D4" s="33" t="s">
        <v>47</v>
      </c>
      <c r="F4" s="33" t="s">
        <v>48</v>
      </c>
      <c r="G4" s="33" t="s">
        <v>49</v>
      </c>
      <c r="H4" s="33" t="s">
        <v>50</v>
      </c>
      <c r="I4" s="33" t="s">
        <v>51</v>
      </c>
      <c r="J4" s="33" t="s">
        <v>52</v>
      </c>
      <c r="L4" s="1" t="s">
        <v>57</v>
      </c>
      <c r="M4" s="33" t="s">
        <v>45</v>
      </c>
      <c r="N4" s="33" t="s">
        <v>46</v>
      </c>
      <c r="O4" s="33" t="s">
        <v>47</v>
      </c>
      <c r="Q4" s="33" t="s">
        <v>48</v>
      </c>
      <c r="R4" s="33" t="s">
        <v>49</v>
      </c>
      <c r="S4" s="33" t="s">
        <v>50</v>
      </c>
      <c r="T4" s="33" t="s">
        <v>51</v>
      </c>
      <c r="U4" s="33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36">
        <f>H5*75</f>
        <v>60000</v>
      </c>
      <c r="J5" s="37">
        <f>I5-42360</f>
        <v>17640</v>
      </c>
      <c r="L5" t="s">
        <v>58</v>
      </c>
      <c r="M5">
        <v>222.05</v>
      </c>
      <c r="N5">
        <v>75</v>
      </c>
      <c r="O5" s="40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36">
        <f>S5*75</f>
        <v>52500</v>
      </c>
      <c r="U5" s="37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36">
        <f t="shared" ref="I6:I21" si="1">H6*75</f>
        <v>52500</v>
      </c>
      <c r="J6" s="37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36">
        <f t="shared" ref="T6:T21" si="4">S6*75</f>
        <v>45000</v>
      </c>
      <c r="U6" s="37">
        <f t="shared" ref="U6:U21" si="5">T6-35344</f>
        <v>9656</v>
      </c>
    </row>
    <row r="7" spans="1:21" x14ac:dyDescent="0.2">
      <c r="B7" s="34"/>
      <c r="C7" s="34"/>
      <c r="D7" s="35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36">
        <f t="shared" si="1"/>
        <v>45000</v>
      </c>
      <c r="J7" s="37">
        <f t="shared" si="2"/>
        <v>2640</v>
      </c>
      <c r="M7" s="34"/>
      <c r="N7" s="34"/>
      <c r="O7" s="41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36">
        <f t="shared" si="4"/>
        <v>37500</v>
      </c>
      <c r="U7" s="37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36">
        <f t="shared" si="1"/>
        <v>37500</v>
      </c>
      <c r="J8" s="38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36">
        <f t="shared" si="4"/>
        <v>30000</v>
      </c>
      <c r="U8" s="38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36">
        <f t="shared" si="1"/>
        <v>30000</v>
      </c>
      <c r="J9" s="38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36">
        <f t="shared" si="4"/>
        <v>22500</v>
      </c>
      <c r="U9" s="38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36">
        <f t="shared" si="1"/>
        <v>22500</v>
      </c>
      <c r="J10" s="38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36">
        <f t="shared" si="4"/>
        <v>15000</v>
      </c>
      <c r="U10" s="38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36">
        <f t="shared" si="1"/>
        <v>15000</v>
      </c>
      <c r="J11" s="38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36">
        <f t="shared" si="4"/>
        <v>7500</v>
      </c>
      <c r="U11" s="38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36">
        <f t="shared" si="1"/>
        <v>7500</v>
      </c>
      <c r="J12" s="38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36">
        <f t="shared" si="4"/>
        <v>0</v>
      </c>
      <c r="U12" s="38">
        <f t="shared" si="5"/>
        <v>-35344</v>
      </c>
    </row>
    <row r="13" spans="1:21" x14ac:dyDescent="0.2">
      <c r="E13" s="34">
        <v>14900</v>
      </c>
      <c r="F13" s="34">
        <v>0</v>
      </c>
      <c r="G13" s="34">
        <v>0</v>
      </c>
      <c r="H13" s="34">
        <f t="shared" si="0"/>
        <v>0</v>
      </c>
      <c r="I13" s="39">
        <f t="shared" si="1"/>
        <v>0</v>
      </c>
      <c r="J13" s="38">
        <f t="shared" si="2"/>
        <v>-42360</v>
      </c>
      <c r="P13" s="34">
        <v>14900</v>
      </c>
      <c r="Q13" s="34">
        <v>0</v>
      </c>
      <c r="R13" s="34">
        <v>0</v>
      </c>
      <c r="S13" s="34">
        <f t="shared" si="3"/>
        <v>0</v>
      </c>
      <c r="T13" s="39">
        <f t="shared" si="4"/>
        <v>0</v>
      </c>
      <c r="U13" s="38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36">
        <f t="shared" si="1"/>
        <v>7500</v>
      </c>
      <c r="J14" s="38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36">
        <f t="shared" si="4"/>
        <v>0</v>
      </c>
      <c r="U14" s="38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36">
        <f t="shared" si="1"/>
        <v>15000</v>
      </c>
      <c r="J15" s="38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36">
        <f t="shared" si="4"/>
        <v>7500</v>
      </c>
      <c r="U15" s="38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36">
        <f t="shared" si="1"/>
        <v>22500</v>
      </c>
      <c r="J16" s="38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36">
        <f t="shared" si="4"/>
        <v>15000</v>
      </c>
      <c r="U16" s="38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36">
        <f t="shared" si="1"/>
        <v>30000</v>
      </c>
      <c r="J17" s="38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36">
        <f t="shared" si="4"/>
        <v>22500</v>
      </c>
      <c r="U17" s="38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36">
        <f t="shared" si="1"/>
        <v>37500</v>
      </c>
      <c r="J18" s="38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36">
        <f t="shared" si="4"/>
        <v>30000</v>
      </c>
      <c r="U18" s="38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36">
        <f t="shared" si="1"/>
        <v>45000</v>
      </c>
      <c r="J19" s="37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36">
        <f t="shared" si="4"/>
        <v>37500</v>
      </c>
      <c r="U19" s="37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36">
        <f t="shared" si="1"/>
        <v>52500</v>
      </c>
      <c r="J20" s="37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36">
        <f t="shared" si="4"/>
        <v>45000</v>
      </c>
      <c r="U20" s="37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36">
        <f t="shared" si="1"/>
        <v>60000</v>
      </c>
      <c r="J21" s="37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36">
        <f t="shared" si="4"/>
        <v>52500</v>
      </c>
      <c r="U21" s="37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D94B-6B40-A745-9C3A-815A885E6FD2}">
  <dimension ref="C5:F18"/>
  <sheetViews>
    <sheetView tabSelected="1" zoomScale="120" zoomScaleNormal="120" workbookViewId="0">
      <selection activeCell="J13" sqref="J13"/>
    </sheetView>
  </sheetViews>
  <sheetFormatPr baseColWidth="10" defaultRowHeight="16" x14ac:dyDescent="0.2"/>
  <cols>
    <col min="3" max="3" width="22.5" customWidth="1"/>
    <col min="4" max="4" width="30.33203125" customWidth="1"/>
    <col min="5" max="5" width="29.5" customWidth="1"/>
    <col min="6" max="6" width="26.33203125" customWidth="1"/>
  </cols>
  <sheetData>
    <row r="5" spans="3:6" s="42" customFormat="1" ht="20" x14ac:dyDescent="0.25">
      <c r="C5" s="45" t="s">
        <v>60</v>
      </c>
      <c r="D5" s="45" t="s">
        <v>66</v>
      </c>
      <c r="E5" s="45" t="s">
        <v>61</v>
      </c>
      <c r="F5" s="45" t="s">
        <v>62</v>
      </c>
    </row>
    <row r="7" spans="3:6" ht="19" x14ac:dyDescent="0.25">
      <c r="C7" s="44" t="s">
        <v>71</v>
      </c>
      <c r="D7" s="42" t="s">
        <v>75</v>
      </c>
      <c r="E7" s="43" t="s">
        <v>77</v>
      </c>
      <c r="F7" s="43" t="s">
        <v>78</v>
      </c>
    </row>
    <row r="8" spans="3:6" ht="19" x14ac:dyDescent="0.25">
      <c r="C8" s="44" t="s">
        <v>72</v>
      </c>
      <c r="D8" s="42" t="s">
        <v>80</v>
      </c>
      <c r="E8" s="43" t="s">
        <v>81</v>
      </c>
      <c r="F8" s="43" t="s">
        <v>78</v>
      </c>
    </row>
    <row r="9" spans="3:6" ht="19" x14ac:dyDescent="0.25">
      <c r="C9" s="44" t="s">
        <v>73</v>
      </c>
      <c r="D9" s="42" t="s">
        <v>76</v>
      </c>
      <c r="E9" s="43" t="s">
        <v>79</v>
      </c>
      <c r="F9" s="43" t="s">
        <v>78</v>
      </c>
    </row>
    <row r="10" spans="3:6" ht="19" x14ac:dyDescent="0.25">
      <c r="C10" s="44" t="s">
        <v>74</v>
      </c>
      <c r="D10" s="42" t="s">
        <v>67</v>
      </c>
      <c r="E10" s="43" t="s">
        <v>82</v>
      </c>
      <c r="F10" s="43" t="s">
        <v>78</v>
      </c>
    </row>
    <row r="11" spans="3:6" ht="19" x14ac:dyDescent="0.25">
      <c r="C11" s="44" t="s">
        <v>63</v>
      </c>
      <c r="D11" s="42" t="s">
        <v>67</v>
      </c>
      <c r="E11" s="43" t="s">
        <v>64</v>
      </c>
      <c r="F11" s="43" t="s">
        <v>65</v>
      </c>
    </row>
    <row r="12" spans="3:6" ht="19" x14ac:dyDescent="0.25">
      <c r="C12" s="44" t="s">
        <v>68</v>
      </c>
      <c r="D12" s="42" t="s">
        <v>67</v>
      </c>
      <c r="E12" s="43" t="s">
        <v>69</v>
      </c>
      <c r="F12" s="43" t="s">
        <v>85</v>
      </c>
    </row>
    <row r="13" spans="3:6" ht="19" x14ac:dyDescent="0.25">
      <c r="C13" s="44" t="s">
        <v>83</v>
      </c>
      <c r="D13" s="42" t="s">
        <v>80</v>
      </c>
      <c r="E13" s="43" t="s">
        <v>87</v>
      </c>
      <c r="F13" s="43" t="s">
        <v>65</v>
      </c>
    </row>
    <row r="14" spans="3:6" ht="19" x14ac:dyDescent="0.25">
      <c r="C14" s="44" t="s">
        <v>84</v>
      </c>
      <c r="D14" s="42" t="s">
        <v>80</v>
      </c>
      <c r="E14" s="43" t="s">
        <v>86</v>
      </c>
      <c r="F14" s="43" t="s">
        <v>85</v>
      </c>
    </row>
    <row r="15" spans="3:6" ht="19" x14ac:dyDescent="0.25">
      <c r="C15" s="44" t="s">
        <v>88</v>
      </c>
      <c r="D15" s="42" t="s">
        <v>92</v>
      </c>
      <c r="E15" s="43" t="s">
        <v>64</v>
      </c>
      <c r="F15" s="43" t="s">
        <v>86</v>
      </c>
    </row>
    <row r="16" spans="3:6" ht="19" x14ac:dyDescent="0.25">
      <c r="C16" s="44" t="s">
        <v>89</v>
      </c>
      <c r="D16" s="42" t="s">
        <v>93</v>
      </c>
      <c r="E16" s="43" t="s">
        <v>96</v>
      </c>
      <c r="F16" s="43" t="s">
        <v>70</v>
      </c>
    </row>
    <row r="17" spans="3:6" ht="19" x14ac:dyDescent="0.25">
      <c r="C17" s="44" t="s">
        <v>90</v>
      </c>
      <c r="D17" s="42" t="s">
        <v>92</v>
      </c>
      <c r="E17" s="43" t="s">
        <v>94</v>
      </c>
      <c r="F17" s="43" t="s">
        <v>95</v>
      </c>
    </row>
    <row r="18" spans="3:6" ht="19" x14ac:dyDescent="0.25">
      <c r="C18" s="44" t="s">
        <v>91</v>
      </c>
      <c r="D18" s="42" t="s">
        <v>93</v>
      </c>
      <c r="E18" s="43" t="s">
        <v>97</v>
      </c>
      <c r="F18" s="43" t="s">
        <v>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50" t="s">
        <v>13</v>
      </c>
      <c r="E5" s="51"/>
    </row>
    <row r="6" spans="4:5" x14ac:dyDescent="0.2">
      <c r="D6" s="52"/>
      <c r="E6" s="53"/>
    </row>
    <row r="7" spans="4:5" ht="17" thickBot="1" x14ac:dyDescent="0.25">
      <c r="D7" s="54"/>
      <c r="E7" s="55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Futures</vt:lpstr>
      <vt:lpstr>Options</vt:lpstr>
      <vt:lpstr>Straddle vs Strangle</vt:lpstr>
      <vt:lpstr>Options 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2021-04-16T13:41:52Z</dcterms:modified>
</cp:coreProperties>
</file>