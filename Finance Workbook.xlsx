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C65BEBB1-D9C1-B343-83CD-2AE6A8A00881}" xr6:coauthVersionLast="46" xr6:coauthVersionMax="46" xr10:uidLastSave="{00000000-0000-0000-0000-000000000000}"/>
  <bookViews>
    <workbookView xWindow="0" yWindow="500" windowWidth="33060" windowHeight="18160" activeTab="2" xr2:uid="{CF95B6ED-2F58-514F-A8C4-FDA980CA2995}"/>
  </bookViews>
  <sheets>
    <sheet name="Futures" sheetId="7" r:id="rId1"/>
    <sheet name="Options" sheetId="1" r:id="rId2"/>
    <sheet name="Swing strategy Index" sheetId="10" r:id="rId3"/>
    <sheet name="Sheet2" sheetId="11" r:id="rId4"/>
    <sheet name="Straddle vs Strangle" sheetId="8" r:id="rId5"/>
    <sheet name="Options Strategy" sheetId="9" r:id="rId6"/>
    <sheet name="Retirement" sheetId="4" r:id="rId7"/>
    <sheet name="Expense Ratio" sheetId="5" r:id="rId8"/>
    <sheet name="XIIR" sheetId="6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0" i="10" l="1"/>
  <c r="S20" i="10" s="1"/>
  <c r="Q20" i="10"/>
  <c r="P20" i="10"/>
  <c r="O20" i="10"/>
  <c r="N20" i="10"/>
  <c r="M20" i="10"/>
  <c r="L20" i="10"/>
  <c r="H20" i="10"/>
  <c r="I20" i="10"/>
  <c r="J20" i="10" s="1"/>
  <c r="K20" i="10" s="1"/>
  <c r="L19" i="10"/>
  <c r="K19" i="10"/>
  <c r="J19" i="10"/>
  <c r="I19" i="10"/>
  <c r="H19" i="10"/>
  <c r="G20" i="10"/>
  <c r="G19" i="10"/>
  <c r="F20" i="10"/>
  <c r="E20" i="10"/>
  <c r="D20" i="10"/>
  <c r="F19" i="10"/>
  <c r="E19" i="10"/>
  <c r="D19" i="10"/>
  <c r="S19" i="10"/>
  <c r="R19" i="10"/>
  <c r="Q19" i="10"/>
  <c r="P19" i="10"/>
  <c r="O19" i="10"/>
  <c r="N19" i="10"/>
  <c r="M19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L14" i="10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Y14" i="10" s="1"/>
  <c r="Z14" i="10" s="1"/>
  <c r="AA14" i="10" s="1"/>
  <c r="AB14" i="10" s="1"/>
  <c r="AC14" i="10" s="1"/>
  <c r="AD14" i="10" s="1"/>
  <c r="AE14" i="10" s="1"/>
  <c r="AF14" i="10" s="1"/>
  <c r="AG14" i="10" s="1"/>
  <c r="AH14" i="10" s="1"/>
  <c r="G13" i="10"/>
  <c r="H13" i="10"/>
  <c r="I13" i="10"/>
  <c r="J13" i="10"/>
  <c r="K13" i="10"/>
  <c r="F13" i="10"/>
  <c r="E13" i="10"/>
  <c r="D13" i="10"/>
  <c r="D14" i="10" s="1"/>
  <c r="E14" i="10" s="1"/>
  <c r="F14" i="10" s="1"/>
  <c r="I13" i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G14" i="10" l="1"/>
  <c r="H14" i="10" s="1"/>
  <c r="I14" i="10" s="1"/>
  <c r="J14" i="10" s="1"/>
  <c r="K14" i="10" s="1"/>
  <c r="E18" i="4"/>
</calcChain>
</file>

<file path=xl/sharedStrings.xml><?xml version="1.0" encoding="utf-8"?>
<sst xmlns="http://schemas.openxmlformats.org/spreadsheetml/2006/main" count="143" uniqueCount="113">
  <si>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</si>
  <si>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</si>
  <si>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</si>
  <si>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</si>
  <si>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</si>
  <si>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</si>
  <si>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</si>
  <si>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</si>
  <si>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</si>
  <si>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</si>
  <si>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</si>
  <si>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</si>
  <si>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</si>
  <si>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</si>
  <si>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</si>
  <si>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</si>
  <si>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</si>
  <si>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</si>
  <si>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</si>
  <si>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</si>
  <si>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</si>
  <si>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</si>
  <si>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</si>
  <si>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</si>
  <si>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</si>
  <si>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</si>
  <si>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</si>
  <si>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</si>
  <si>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</si>
  <si>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</si>
  <si>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</si>
  <si>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</si>
  <si>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</si>
  <si>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</si>
  <si>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</si>
  <si>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</si>
  <si>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</si>
  <si>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</si>
  <si>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</si>
  <si>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</si>
  <si>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</si>
  <si>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</si>
  <si>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</si>
  <si>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</si>
  <si>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</si>
  <si>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</si>
  <si>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</si>
  <si>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</si>
  <si>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</si>
  <si>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</si>
  <si>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</si>
  <si>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</si>
  <si>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</si>
  <si>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</si>
  <si>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</si>
  <si>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</si>
  <si>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</si>
  <si>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</si>
  <si>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</si>
  <si>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</si>
  <si>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</si>
  <si>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</si>
  <si>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</si>
  <si>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</si>
  <si>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</si>
  <si>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</si>
  <si>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</si>
  <si>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</si>
  <si>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</si>
  <si>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</si>
  <si>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</si>
  <si>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</si>
  <si>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</si>
  <si>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</si>
  <si>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</si>
  <si>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</si>
  <si>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</si>
  <si>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</si>
  <si>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</si>
  <si>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</si>
  <si>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</si>
  <si>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</si>
  <si>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</si>
  <si>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</si>
  <si>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</si>
  <si>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</si>
  <si>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</si>
  <si>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</si>
  <si>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</si>
  <si>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</si>
  <si>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</si>
  <si>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</si>
  <si>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</si>
  <si>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</si>
  <si>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</si>
  <si>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</si>
  <si>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</si>
  <si>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</si>
  <si>
    <t>Starting Capital</t>
  </si>
  <si>
    <t>Lot size</t>
  </si>
  <si>
    <t>Margin</t>
  </si>
  <si>
    <t>1 brick</t>
  </si>
  <si>
    <t>100 points</t>
  </si>
  <si>
    <t>Brick</t>
  </si>
  <si>
    <t>Profit / Loss</t>
  </si>
  <si>
    <t>TREND CHASER SWING STRATEGY BACKTEST</t>
  </si>
  <si>
    <t>BANK NIFTY</t>
  </si>
  <si>
    <t>1st Mar 2021</t>
  </si>
  <si>
    <t>Start Date</t>
  </si>
  <si>
    <t>Cumulative</t>
  </si>
  <si>
    <t>#Leg</t>
  </si>
  <si>
    <t>Bricks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</si>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</sst>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₹&quot;#,##0_);[Red]\(&quot;₹&quot;#,##0\)"/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  <numFmt numFmtId="167" formatCode="[$₹-4009]\ #,##0;[Red][$₹-4009]\ #,##0"/>
    <numFmt numFmtId="168" formatCode="[$₹-4009]\ #,##0;[Red][$₹-4009]\ \-#,##0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  <xf numFmtId="0" fontId="22" fillId="15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  <xf numFmtId="0" fontId="0" fillId="0" borderId="0" xfId="0" applyAlignment="1">
      <alignment horizontal="right"/>
    </xf>
    <xf numFmtId="167" fontId="0" fillId="0" borderId="0" xfId="0" applyNumberFormat="1"/>
    <xf numFmtId="0" fontId="0" fillId="0" borderId="0" xfId="0" applyAlignment="1"/>
    <xf numFmtId="167" fontId="0" fillId="12" borderId="0" xfId="0" applyNumberFormat="1" applyFill="1"/>
    <xf numFmtId="0" fontId="0" fillId="12" borderId="0" xfId="0" applyFill="1"/>
    <xf numFmtId="0" fontId="22" fillId="15" borderId="0" xfId="4" applyAlignment="1">
      <alignment horizontal="right"/>
    </xf>
    <xf numFmtId="167" fontId="22" fillId="15" borderId="0" xfId="4" applyNumberFormat="1"/>
    <xf numFmtId="0" fontId="18" fillId="11" borderId="0" xfId="3" applyAlignment="1">
      <alignment horizontal="right"/>
    </xf>
    <xf numFmtId="168" fontId="18" fillId="11" borderId="0" xfId="3" applyNumberFormat="1"/>
    <xf numFmtId="167" fontId="18" fillId="11" borderId="0" xfId="3" applyNumberFormat="1"/>
    <xf numFmtId="168" fontId="22" fillId="15" borderId="0" xfId="4" applyNumberFormat="1"/>
    <xf numFmtId="0" fontId="22" fillId="15" borderId="0" xfId="4"/>
    <xf numFmtId="0" fontId="18" fillId="11" borderId="0" xfId="3"/>
    <xf numFmtId="6" fontId="0" fillId="0" borderId="0" xfId="0" applyNumberFormat="1"/>
    <xf numFmtId="167" fontId="0" fillId="0" borderId="0" xfId="2" applyNumberFormat="1" applyFont="1" applyAlignment="1"/>
    <xf numFmtId="0" fontId="24" fillId="16" borderId="0" xfId="0" applyFont="1" applyFill="1" applyAlignment="1">
      <alignment horizontal="center"/>
    </xf>
    <xf numFmtId="0" fontId="0" fillId="12" borderId="0" xfId="0" applyFill="1" applyAlignment="1">
      <alignment horizontal="right"/>
    </xf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</cellXfs>
  <cellStyles count="5">
    <cellStyle name="Bad" xfId="3" builtinId="27"/>
    <cellStyle name="Currency" xfId="2" builtinId="4"/>
    <cellStyle name="Good" xfId="4" builtinId="26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Trend chaser strategy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Sheet2!$I$9:$I$39</c:f>
              <c:numCache>
                <c:formatCode>"₹"#,##0_);[Red]\("₹"#,##0\)</c:formatCode>
                <c:ptCount val="31"/>
                <c:pt idx="0">
                  <c:v>40000</c:v>
                </c:pt>
                <c:pt idx="1">
                  <c:v>35000</c:v>
                </c:pt>
                <c:pt idx="2">
                  <c:v>55000</c:v>
                </c:pt>
                <c:pt idx="3">
                  <c:v>50000</c:v>
                </c:pt>
                <c:pt idx="4">
                  <c:v>60000</c:v>
                </c:pt>
                <c:pt idx="5">
                  <c:v>55000</c:v>
                </c:pt>
                <c:pt idx="6">
                  <c:v>105000</c:v>
                </c:pt>
                <c:pt idx="7">
                  <c:v>100000</c:v>
                </c:pt>
                <c:pt idx="8">
                  <c:v>105000</c:v>
                </c:pt>
                <c:pt idx="9">
                  <c:v>100000</c:v>
                </c:pt>
                <c:pt idx="10">
                  <c:v>120000</c:v>
                </c:pt>
                <c:pt idx="11">
                  <c:v>115000</c:v>
                </c:pt>
                <c:pt idx="12">
                  <c:v>127500</c:v>
                </c:pt>
                <c:pt idx="13">
                  <c:v>122500</c:v>
                </c:pt>
                <c:pt idx="14">
                  <c:v>130000</c:v>
                </c:pt>
                <c:pt idx="15">
                  <c:v>125000</c:v>
                </c:pt>
                <c:pt idx="16">
                  <c:v>135000</c:v>
                </c:pt>
                <c:pt idx="17">
                  <c:v>130000</c:v>
                </c:pt>
                <c:pt idx="18">
                  <c:v>157500</c:v>
                </c:pt>
                <c:pt idx="19">
                  <c:v>152500</c:v>
                </c:pt>
                <c:pt idx="20">
                  <c:v>155000</c:v>
                </c:pt>
                <c:pt idx="21">
                  <c:v>150000</c:v>
                </c:pt>
                <c:pt idx="22">
                  <c:v>200000</c:v>
                </c:pt>
                <c:pt idx="23">
                  <c:v>195000</c:v>
                </c:pt>
                <c:pt idx="24">
                  <c:v>222500</c:v>
                </c:pt>
                <c:pt idx="25">
                  <c:v>217500</c:v>
                </c:pt>
                <c:pt idx="26">
                  <c:v>237500</c:v>
                </c:pt>
                <c:pt idx="27">
                  <c:v>232500</c:v>
                </c:pt>
                <c:pt idx="28">
                  <c:v>290000</c:v>
                </c:pt>
                <c:pt idx="29">
                  <c:v>285000</c:v>
                </c:pt>
                <c:pt idx="30">
                  <c:v>307500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1-CA4B-93A3-44C37D4A6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7736784"/>
        <c:axId val="349292848"/>
      </c:barChart>
      <c:catAx>
        <c:axId val="247736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92848"/>
        <c:crosses val="autoZero"/>
        <c:auto val="1"/>
        <c:lblAlgn val="ctr"/>
        <c:lblOffset val="100"/>
        <c:noMultiLvlLbl val="0"/>
      </c:catAx>
      <c:valAx>
        <c:axId val="34929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₹&quot;#,##0_);[Red]\(&quot;₹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73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609600</xdr:colOff>
      <xdr:row>7</xdr:row>
      <xdr:rowOff>12700</xdr:rowOff>
    </xdr:from>
    <xdr:to>
      <xdr:col>22</xdr:col>
      <xdr:colOff>647700</xdr:colOff>
      <xdr:row>38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42D272-FCF6-534D-8CDD-85A6A496E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63" t="s">
        <v>43</v>
      </c>
      <c r="C3" s="63"/>
      <c r="D3" s="63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zoomScale="140" zoomScaleNormal="140" workbookViewId="0">
      <selection activeCell="H12" sqref="H12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64" t="s">
        <v>12</v>
      </c>
      <c r="D2" s="64"/>
      <c r="E2" s="64"/>
      <c r="F2" s="64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14800</v>
      </c>
      <c r="F13">
        <v>-0.37559999999999999</v>
      </c>
      <c r="G13">
        <v>-150</v>
      </c>
      <c r="H13">
        <v>44</v>
      </c>
      <c r="I13">
        <f>G13*F13</f>
        <v>56.339999999999996</v>
      </c>
      <c r="J13">
        <f>I13+H13</f>
        <v>100.34</v>
      </c>
      <c r="K13" s="3">
        <f>(J13-H13)/H13</f>
        <v>1.2804545454545455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56AF-94E4-6D4E-A04E-22BA87FD1854}">
  <dimension ref="A2:AH20"/>
  <sheetViews>
    <sheetView tabSelected="1" zoomScale="130" zoomScaleNormal="130" workbookViewId="0">
      <pane xSplit="3" ySplit="10" topLeftCell="D11" activePane="bottomRight" state="frozen"/>
      <selection pane="topRight" activeCell="D1" sqref="D1"/>
      <selection pane="bottomLeft" activeCell="A10" sqref="A10"/>
      <selection pane="bottomRight" activeCell="H19" sqref="H19"/>
    </sheetView>
  </sheetViews>
  <sheetFormatPr baseColWidth="10" defaultRowHeight="16" x14ac:dyDescent="0.2"/>
  <cols>
    <col min="1" max="1" width="14.6640625" customWidth="1"/>
    <col min="2" max="2" width="13.83203125" bestFit="1" customWidth="1"/>
    <col min="3" max="3" width="13.1640625" bestFit="1" customWidth="1"/>
    <col min="4" max="4" width="12.1640625" bestFit="1" customWidth="1"/>
  </cols>
  <sheetData>
    <row r="2" spans="1:34" x14ac:dyDescent="0.2">
      <c r="C2" s="48"/>
      <c r="D2" s="48"/>
      <c r="E2" s="65" t="s">
        <v>105</v>
      </c>
      <c r="F2" s="65"/>
      <c r="G2" s="65"/>
      <c r="H2" s="65"/>
      <c r="I2" s="65"/>
    </row>
    <row r="4" spans="1:34" x14ac:dyDescent="0.2">
      <c r="A4" t="s">
        <v>108</v>
      </c>
      <c r="B4" s="62" t="s">
        <v>107</v>
      </c>
    </row>
    <row r="5" spans="1:34" x14ac:dyDescent="0.2">
      <c r="A5" t="s">
        <v>98</v>
      </c>
      <c r="B5" s="49">
        <v>200000</v>
      </c>
    </row>
    <row r="6" spans="1:34" x14ac:dyDescent="0.2">
      <c r="A6" t="s">
        <v>99</v>
      </c>
      <c r="B6" s="50">
        <v>25</v>
      </c>
    </row>
    <row r="7" spans="1:34" x14ac:dyDescent="0.2">
      <c r="A7" t="s">
        <v>100</v>
      </c>
      <c r="B7" s="50">
        <v>164000</v>
      </c>
    </row>
    <row r="8" spans="1:34" x14ac:dyDescent="0.2">
      <c r="A8" t="s">
        <v>101</v>
      </c>
      <c r="B8" s="46" t="s">
        <v>102</v>
      </c>
      <c r="C8" s="47">
        <v>2500</v>
      </c>
    </row>
    <row r="12" spans="1:34" x14ac:dyDescent="0.2">
      <c r="B12" t="s">
        <v>106</v>
      </c>
      <c r="C12" t="s">
        <v>103</v>
      </c>
      <c r="D12" s="51">
        <v>16</v>
      </c>
      <c r="E12" s="53">
        <v>-2</v>
      </c>
      <c r="F12" s="51">
        <v>8</v>
      </c>
      <c r="G12" s="53">
        <v>-2</v>
      </c>
      <c r="H12" s="57">
        <v>4</v>
      </c>
      <c r="I12" s="58">
        <v>-2</v>
      </c>
      <c r="J12" s="57">
        <v>20</v>
      </c>
      <c r="K12" s="58">
        <v>-2</v>
      </c>
      <c r="L12" s="57">
        <v>2</v>
      </c>
      <c r="M12" s="58">
        <v>-2</v>
      </c>
      <c r="N12" s="57">
        <v>8</v>
      </c>
      <c r="O12" s="58">
        <v>-2</v>
      </c>
      <c r="P12" s="57">
        <v>5</v>
      </c>
      <c r="Q12" s="58">
        <v>-2</v>
      </c>
      <c r="R12" s="57">
        <v>3</v>
      </c>
      <c r="S12" s="58">
        <v>-2</v>
      </c>
      <c r="T12" s="57">
        <v>4</v>
      </c>
      <c r="U12" s="58">
        <v>-2</v>
      </c>
      <c r="V12" s="57">
        <v>11</v>
      </c>
      <c r="W12" s="58">
        <v>-2</v>
      </c>
      <c r="X12" s="57">
        <v>1</v>
      </c>
      <c r="Y12" s="58">
        <v>-2</v>
      </c>
      <c r="Z12" s="57">
        <v>20</v>
      </c>
      <c r="AA12" s="58">
        <v>-2</v>
      </c>
      <c r="AB12" s="57">
        <v>11</v>
      </c>
      <c r="AC12" s="58">
        <v>-2</v>
      </c>
      <c r="AD12" s="57">
        <v>8</v>
      </c>
      <c r="AE12" s="58">
        <v>-2</v>
      </c>
      <c r="AF12" s="57">
        <v>23</v>
      </c>
      <c r="AG12" s="58">
        <v>-2</v>
      </c>
      <c r="AH12" s="57">
        <v>9</v>
      </c>
    </row>
    <row r="13" spans="1:34" x14ac:dyDescent="0.2">
      <c r="C13" t="s">
        <v>104</v>
      </c>
      <c r="D13" s="52">
        <f t="shared" ref="D13:K13" si="0">D12*$C$8</f>
        <v>40000</v>
      </c>
      <c r="E13" s="54">
        <f t="shared" si="0"/>
        <v>-5000</v>
      </c>
      <c r="F13" s="56">
        <f t="shared" si="0"/>
        <v>20000</v>
      </c>
      <c r="G13" s="54">
        <f t="shared" si="0"/>
        <v>-5000</v>
      </c>
      <c r="H13" s="56">
        <f t="shared" si="0"/>
        <v>10000</v>
      </c>
      <c r="I13" s="54">
        <f t="shared" si="0"/>
        <v>-5000</v>
      </c>
      <c r="J13" s="56">
        <f t="shared" si="0"/>
        <v>50000</v>
      </c>
      <c r="K13" s="54">
        <f t="shared" si="0"/>
        <v>-5000</v>
      </c>
      <c r="L13" s="56">
        <f t="shared" ref="L13:AH13" si="1">L12*$C$8</f>
        <v>5000</v>
      </c>
      <c r="M13" s="54">
        <f t="shared" si="1"/>
        <v>-5000</v>
      </c>
      <c r="N13" s="56">
        <f t="shared" si="1"/>
        <v>20000</v>
      </c>
      <c r="O13" s="54">
        <f t="shared" si="1"/>
        <v>-5000</v>
      </c>
      <c r="P13" s="56">
        <f t="shared" si="1"/>
        <v>12500</v>
      </c>
      <c r="Q13" s="54">
        <f t="shared" si="1"/>
        <v>-5000</v>
      </c>
      <c r="R13" s="56">
        <f t="shared" si="1"/>
        <v>7500</v>
      </c>
      <c r="S13" s="54">
        <f t="shared" si="1"/>
        <v>-5000</v>
      </c>
      <c r="T13" s="56">
        <f t="shared" si="1"/>
        <v>10000</v>
      </c>
      <c r="U13" s="54">
        <f t="shared" si="1"/>
        <v>-5000</v>
      </c>
      <c r="V13" s="56">
        <f t="shared" si="1"/>
        <v>27500</v>
      </c>
      <c r="W13" s="54">
        <f t="shared" si="1"/>
        <v>-5000</v>
      </c>
      <c r="X13" s="56">
        <f t="shared" si="1"/>
        <v>2500</v>
      </c>
      <c r="Y13" s="54">
        <f t="shared" si="1"/>
        <v>-5000</v>
      </c>
      <c r="Z13" s="56">
        <f t="shared" si="1"/>
        <v>50000</v>
      </c>
      <c r="AA13" s="54">
        <f t="shared" si="1"/>
        <v>-5000</v>
      </c>
      <c r="AB13" s="56">
        <f t="shared" si="1"/>
        <v>27500</v>
      </c>
      <c r="AC13" s="54">
        <f t="shared" si="1"/>
        <v>-5000</v>
      </c>
      <c r="AD13" s="56">
        <f t="shared" si="1"/>
        <v>20000</v>
      </c>
      <c r="AE13" s="54">
        <f t="shared" si="1"/>
        <v>-5000</v>
      </c>
      <c r="AF13" s="56">
        <f t="shared" si="1"/>
        <v>57500</v>
      </c>
      <c r="AG13" s="54">
        <f t="shared" si="1"/>
        <v>-5000</v>
      </c>
      <c r="AH13" s="56">
        <f t="shared" si="1"/>
        <v>22500</v>
      </c>
    </row>
    <row r="14" spans="1:34" x14ac:dyDescent="0.2">
      <c r="C14" t="s">
        <v>109</v>
      </c>
      <c r="D14" s="52">
        <f>D13</f>
        <v>40000</v>
      </c>
      <c r="E14" s="55">
        <f>D14+E13</f>
        <v>35000</v>
      </c>
      <c r="F14" s="52">
        <f>E14+F13</f>
        <v>55000</v>
      </c>
      <c r="G14" s="55">
        <f t="shared" ref="G14:K14" si="2">F14+G13</f>
        <v>50000</v>
      </c>
      <c r="H14" s="52">
        <f t="shared" si="2"/>
        <v>60000</v>
      </c>
      <c r="I14" s="55">
        <f t="shared" si="2"/>
        <v>55000</v>
      </c>
      <c r="J14" s="52">
        <f t="shared" si="2"/>
        <v>105000</v>
      </c>
      <c r="K14" s="55">
        <f t="shared" si="2"/>
        <v>100000</v>
      </c>
      <c r="L14" s="52">
        <f t="shared" ref="L14" si="3">K14+L13</f>
        <v>105000</v>
      </c>
      <c r="M14" s="55">
        <f t="shared" ref="M14" si="4">L14+M13</f>
        <v>100000</v>
      </c>
      <c r="N14" s="52">
        <f t="shared" ref="N14" si="5">M14+N13</f>
        <v>120000</v>
      </c>
      <c r="O14" s="55">
        <f t="shared" ref="O14" si="6">N14+O13</f>
        <v>115000</v>
      </c>
      <c r="P14" s="52">
        <f t="shared" ref="P14" si="7">O14+P13</f>
        <v>127500</v>
      </c>
      <c r="Q14" s="55">
        <f t="shared" ref="Q14" si="8">P14+Q13</f>
        <v>122500</v>
      </c>
      <c r="R14" s="52">
        <f t="shared" ref="R14" si="9">Q14+R13</f>
        <v>130000</v>
      </c>
      <c r="S14" s="55">
        <f t="shared" ref="S14" si="10">R14+S13</f>
        <v>125000</v>
      </c>
      <c r="T14" s="52">
        <f t="shared" ref="T14" si="11">S14+T13</f>
        <v>135000</v>
      </c>
      <c r="U14" s="55">
        <f t="shared" ref="U14" si="12">T14+U13</f>
        <v>130000</v>
      </c>
      <c r="V14" s="52">
        <f t="shared" ref="V14" si="13">U14+V13</f>
        <v>157500</v>
      </c>
      <c r="W14" s="55">
        <f t="shared" ref="W14" si="14">V14+W13</f>
        <v>152500</v>
      </c>
      <c r="X14" s="52">
        <f t="shared" ref="X14" si="15">W14+X13</f>
        <v>155000</v>
      </c>
      <c r="Y14" s="55">
        <f t="shared" ref="Y14" si="16">X14+Y13</f>
        <v>150000</v>
      </c>
      <c r="Z14" s="52">
        <f t="shared" ref="Z14" si="17">Y14+Z13</f>
        <v>200000</v>
      </c>
      <c r="AA14" s="55">
        <f t="shared" ref="AA14" si="18">Z14+AA13</f>
        <v>195000</v>
      </c>
      <c r="AB14" s="52">
        <f t="shared" ref="AB14" si="19">AA14+AB13</f>
        <v>222500</v>
      </c>
      <c r="AC14" s="55">
        <f t="shared" ref="AC14" si="20">AB14+AC13</f>
        <v>217500</v>
      </c>
      <c r="AD14" s="52">
        <f t="shared" ref="AD14" si="21">AC14+AD13</f>
        <v>237500</v>
      </c>
      <c r="AE14" s="55">
        <f t="shared" ref="AE14" si="22">AD14+AE13</f>
        <v>232500</v>
      </c>
      <c r="AF14" s="52">
        <f t="shared" ref="AF14" si="23">AE14+AF13</f>
        <v>290000</v>
      </c>
      <c r="AG14" s="55">
        <f t="shared" ref="AG14" si="24">AF14+AG13</f>
        <v>285000</v>
      </c>
      <c r="AH14" s="52">
        <f t="shared" ref="AH14" si="25">AG14+AH13</f>
        <v>307500</v>
      </c>
    </row>
    <row r="18" spans="4:19" x14ac:dyDescent="0.2">
      <c r="D18">
        <v>-2</v>
      </c>
      <c r="E18">
        <v>3</v>
      </c>
      <c r="F18">
        <v>-2</v>
      </c>
      <c r="G18">
        <v>-2</v>
      </c>
      <c r="H18">
        <v>5</v>
      </c>
      <c r="I18">
        <v>-2</v>
      </c>
      <c r="J18">
        <v>-2</v>
      </c>
      <c r="K18">
        <v>2</v>
      </c>
      <c r="L18">
        <v>-2</v>
      </c>
      <c r="M18">
        <v>16</v>
      </c>
      <c r="N18">
        <v>-2</v>
      </c>
      <c r="O18">
        <v>-2</v>
      </c>
      <c r="P18">
        <v>-2</v>
      </c>
      <c r="Q18">
        <v>4</v>
      </c>
      <c r="R18">
        <v>-2</v>
      </c>
      <c r="S18">
        <v>11</v>
      </c>
    </row>
    <row r="19" spans="4:19" x14ac:dyDescent="0.2">
      <c r="D19" s="54">
        <f t="shared" ref="D19:L20" si="26">D18*$C$8</f>
        <v>-5000</v>
      </c>
      <c r="E19" s="56">
        <f t="shared" si="26"/>
        <v>7500</v>
      </c>
      <c r="F19" s="54">
        <f t="shared" si="26"/>
        <v>-5000</v>
      </c>
      <c r="G19" s="54">
        <f t="shared" si="26"/>
        <v>-5000</v>
      </c>
      <c r="H19" s="56">
        <f t="shared" si="26"/>
        <v>12500</v>
      </c>
      <c r="I19" s="54">
        <f t="shared" si="26"/>
        <v>-5000</v>
      </c>
      <c r="J19" s="54">
        <f t="shared" si="26"/>
        <v>-5000</v>
      </c>
      <c r="K19" s="56">
        <f t="shared" si="26"/>
        <v>5000</v>
      </c>
      <c r="L19" s="54">
        <f t="shared" si="26"/>
        <v>-5000</v>
      </c>
      <c r="M19" s="52">
        <f t="shared" ref="M19:N19" si="27">M18*$C$8</f>
        <v>40000</v>
      </c>
      <c r="N19" s="54">
        <f t="shared" si="27"/>
        <v>-5000</v>
      </c>
      <c r="O19" s="54">
        <f t="shared" ref="O19:S19" si="28">O18*$C$8</f>
        <v>-5000</v>
      </c>
      <c r="P19" s="54">
        <f t="shared" si="28"/>
        <v>-5000</v>
      </c>
      <c r="Q19" s="56">
        <f t="shared" si="28"/>
        <v>10000</v>
      </c>
      <c r="R19" s="54">
        <f t="shared" si="28"/>
        <v>-5000</v>
      </c>
      <c r="S19" s="56">
        <f t="shared" si="28"/>
        <v>27500</v>
      </c>
    </row>
    <row r="20" spans="4:19" x14ac:dyDescent="0.2">
      <c r="D20" s="54">
        <f>0+D19</f>
        <v>-5000</v>
      </c>
      <c r="E20" s="52">
        <f>D20+E19</f>
        <v>2500</v>
      </c>
      <c r="F20" s="54">
        <f>E20+F19</f>
        <v>-2500</v>
      </c>
      <c r="G20" s="54">
        <f>F20+G19</f>
        <v>-7500</v>
      </c>
      <c r="H20" s="52">
        <f t="shared" ref="H20:Q20" si="29">G20+H19</f>
        <v>5000</v>
      </c>
      <c r="I20" s="55">
        <f t="shared" si="29"/>
        <v>0</v>
      </c>
      <c r="J20" s="54">
        <f t="shared" si="29"/>
        <v>-5000</v>
      </c>
      <c r="K20" s="52">
        <f t="shared" si="29"/>
        <v>0</v>
      </c>
      <c r="L20" s="54">
        <f t="shared" si="29"/>
        <v>-5000</v>
      </c>
      <c r="M20" s="56">
        <f t="shared" si="29"/>
        <v>35000</v>
      </c>
      <c r="N20" s="54">
        <f t="shared" si="29"/>
        <v>30000</v>
      </c>
      <c r="O20" s="54">
        <f t="shared" si="29"/>
        <v>25000</v>
      </c>
      <c r="P20" s="54">
        <f t="shared" si="29"/>
        <v>20000</v>
      </c>
      <c r="Q20" s="56">
        <f t="shared" si="29"/>
        <v>30000</v>
      </c>
      <c r="R20" s="54">
        <f t="shared" ref="R20" si="30">Q20+R19</f>
        <v>25000</v>
      </c>
      <c r="S20" s="56">
        <f t="shared" ref="S20" si="31">R20+S19</f>
        <v>52500</v>
      </c>
    </row>
  </sheetData>
  <mergeCells count="1">
    <mergeCell ref="E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04C-D6E7-9C46-8397-A92BDC104866}">
  <dimension ref="F8:AR39"/>
  <sheetViews>
    <sheetView topLeftCell="D5" zoomScale="110" zoomScaleNormal="110" workbookViewId="0">
      <selection activeCell="Z41" sqref="Z41"/>
    </sheetView>
  </sheetViews>
  <sheetFormatPr baseColWidth="10" defaultRowHeight="16" x14ac:dyDescent="0.2"/>
  <cols>
    <col min="8" max="8" width="11.5" bestFit="1" customWidth="1"/>
  </cols>
  <sheetData>
    <row r="8" spans="6:44" ht="17" x14ac:dyDescent="0.2">
      <c r="F8" s="61" t="s">
        <v>110</v>
      </c>
      <c r="G8" s="61" t="s">
        <v>111</v>
      </c>
      <c r="H8" s="61" t="s">
        <v>112</v>
      </c>
      <c r="I8" s="61" t="s">
        <v>109</v>
      </c>
    </row>
    <row r="9" spans="6:44" x14ac:dyDescent="0.2">
      <c r="F9">
        <v>1</v>
      </c>
      <c r="G9">
        <v>16</v>
      </c>
      <c r="H9" s="60">
        <v>40000</v>
      </c>
      <c r="I9" s="59">
        <v>40000</v>
      </c>
    </row>
    <row r="10" spans="6:44" x14ac:dyDescent="0.2">
      <c r="F10">
        <v>2</v>
      </c>
      <c r="G10">
        <v>-2</v>
      </c>
      <c r="H10" s="60">
        <v>-5000</v>
      </c>
      <c r="I10" s="59">
        <v>35000</v>
      </c>
    </row>
    <row r="11" spans="6:44" x14ac:dyDescent="0.2">
      <c r="F11">
        <v>3</v>
      </c>
      <c r="G11">
        <v>8</v>
      </c>
      <c r="H11" s="60">
        <v>20000</v>
      </c>
      <c r="I11" s="59">
        <v>55000</v>
      </c>
    </row>
    <row r="12" spans="6:44" x14ac:dyDescent="0.2">
      <c r="F12">
        <v>4</v>
      </c>
      <c r="G12">
        <v>-2</v>
      </c>
      <c r="H12" s="60">
        <v>-5000</v>
      </c>
      <c r="I12" s="59">
        <v>50000</v>
      </c>
    </row>
    <row r="13" spans="6:44" x14ac:dyDescent="0.2">
      <c r="F13">
        <v>5</v>
      </c>
      <c r="G13">
        <v>4</v>
      </c>
      <c r="H13" s="60">
        <v>10000</v>
      </c>
      <c r="I13" s="59">
        <v>60000</v>
      </c>
    </row>
    <row r="14" spans="6:44" x14ac:dyDescent="0.2">
      <c r="F14">
        <v>6</v>
      </c>
      <c r="G14">
        <v>-2</v>
      </c>
      <c r="H14" s="60">
        <v>-5000</v>
      </c>
      <c r="I14" s="59">
        <v>55000</v>
      </c>
    </row>
    <row r="15" spans="6:44" x14ac:dyDescent="0.2">
      <c r="F15">
        <v>7</v>
      </c>
      <c r="G15">
        <v>20</v>
      </c>
      <c r="H15" s="60">
        <v>50000</v>
      </c>
      <c r="I15" s="59">
        <v>105000</v>
      </c>
    </row>
    <row r="16" spans="6:44" x14ac:dyDescent="0.2">
      <c r="F16">
        <v>8</v>
      </c>
      <c r="G16">
        <v>-2</v>
      </c>
      <c r="H16" s="60">
        <v>-5000</v>
      </c>
      <c r="I16" s="59">
        <v>100000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</row>
    <row r="17" spans="6:44" x14ac:dyDescent="0.2">
      <c r="F17">
        <v>9</v>
      </c>
      <c r="G17">
        <v>2</v>
      </c>
      <c r="H17" s="60">
        <v>5000</v>
      </c>
      <c r="I17" s="59">
        <v>105000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</row>
    <row r="18" spans="6:44" x14ac:dyDescent="0.2">
      <c r="F18">
        <v>10</v>
      </c>
      <c r="G18">
        <v>-2</v>
      </c>
      <c r="H18" s="60">
        <v>-5000</v>
      </c>
      <c r="I18" s="59">
        <v>100000</v>
      </c>
    </row>
    <row r="19" spans="6:44" x14ac:dyDescent="0.2">
      <c r="F19">
        <v>11</v>
      </c>
      <c r="G19">
        <v>8</v>
      </c>
      <c r="H19" s="60">
        <v>20000</v>
      </c>
      <c r="I19" s="59">
        <v>120000</v>
      </c>
    </row>
    <row r="20" spans="6:44" x14ac:dyDescent="0.2">
      <c r="F20">
        <v>12</v>
      </c>
      <c r="G20">
        <v>-2</v>
      </c>
      <c r="H20" s="60">
        <v>-5000</v>
      </c>
      <c r="I20" s="59">
        <v>115000</v>
      </c>
    </row>
    <row r="21" spans="6:44" x14ac:dyDescent="0.2">
      <c r="F21">
        <v>13</v>
      </c>
      <c r="G21">
        <v>5</v>
      </c>
      <c r="H21" s="60">
        <v>12500</v>
      </c>
      <c r="I21" s="59">
        <v>127500</v>
      </c>
    </row>
    <row r="22" spans="6:44" x14ac:dyDescent="0.2">
      <c r="F22">
        <v>14</v>
      </c>
      <c r="G22">
        <v>-2</v>
      </c>
      <c r="H22" s="60">
        <v>-5000</v>
      </c>
      <c r="I22" s="59">
        <v>122500</v>
      </c>
    </row>
    <row r="23" spans="6:44" x14ac:dyDescent="0.2">
      <c r="F23">
        <v>15</v>
      </c>
      <c r="G23">
        <v>3</v>
      </c>
      <c r="H23" s="60">
        <v>7500</v>
      </c>
      <c r="I23" s="59">
        <v>130000</v>
      </c>
    </row>
    <row r="24" spans="6:44" x14ac:dyDescent="0.2">
      <c r="F24">
        <v>16</v>
      </c>
      <c r="G24">
        <v>-2</v>
      </c>
      <c r="H24" s="60">
        <v>-5000</v>
      </c>
      <c r="I24" s="59">
        <v>125000</v>
      </c>
    </row>
    <row r="25" spans="6:44" x14ac:dyDescent="0.2">
      <c r="F25">
        <v>17</v>
      </c>
      <c r="G25">
        <v>4</v>
      </c>
      <c r="H25" s="60">
        <v>10000</v>
      </c>
      <c r="I25" s="59">
        <v>135000</v>
      </c>
    </row>
    <row r="26" spans="6:44" x14ac:dyDescent="0.2">
      <c r="F26">
        <v>18</v>
      </c>
      <c r="G26">
        <v>-2</v>
      </c>
      <c r="H26" s="60">
        <v>-5000</v>
      </c>
      <c r="I26" s="59">
        <v>130000</v>
      </c>
    </row>
    <row r="27" spans="6:44" x14ac:dyDescent="0.2">
      <c r="F27">
        <v>19</v>
      </c>
      <c r="G27">
        <v>11</v>
      </c>
      <c r="H27" s="60">
        <v>27500</v>
      </c>
      <c r="I27" s="59">
        <v>157500</v>
      </c>
    </row>
    <row r="28" spans="6:44" x14ac:dyDescent="0.2">
      <c r="F28">
        <v>20</v>
      </c>
      <c r="G28">
        <v>-2</v>
      </c>
      <c r="H28" s="60">
        <v>-5000</v>
      </c>
      <c r="I28" s="59">
        <v>152500</v>
      </c>
    </row>
    <row r="29" spans="6:44" x14ac:dyDescent="0.2">
      <c r="F29">
        <v>21</v>
      </c>
      <c r="G29">
        <v>1</v>
      </c>
      <c r="H29" s="60">
        <v>2500</v>
      </c>
      <c r="I29" s="59">
        <v>155000</v>
      </c>
    </row>
    <row r="30" spans="6:44" x14ac:dyDescent="0.2">
      <c r="F30">
        <v>22</v>
      </c>
      <c r="G30">
        <v>-2</v>
      </c>
      <c r="H30" s="60">
        <v>-5000</v>
      </c>
      <c r="I30" s="59">
        <v>150000</v>
      </c>
    </row>
    <row r="31" spans="6:44" x14ac:dyDescent="0.2">
      <c r="F31">
        <v>23</v>
      </c>
      <c r="G31">
        <v>20</v>
      </c>
      <c r="H31" s="60">
        <v>50000</v>
      </c>
      <c r="I31" s="59">
        <v>200000</v>
      </c>
    </row>
    <row r="32" spans="6:44" x14ac:dyDescent="0.2">
      <c r="F32">
        <v>24</v>
      </c>
      <c r="G32">
        <v>-2</v>
      </c>
      <c r="H32" s="60">
        <v>-5000</v>
      </c>
      <c r="I32" s="59">
        <v>195000</v>
      </c>
    </row>
    <row r="33" spans="6:9" x14ac:dyDescent="0.2">
      <c r="F33">
        <v>25</v>
      </c>
      <c r="G33">
        <v>11</v>
      </c>
      <c r="H33" s="60">
        <v>27500</v>
      </c>
      <c r="I33" s="59">
        <v>222500</v>
      </c>
    </row>
    <row r="34" spans="6:9" x14ac:dyDescent="0.2">
      <c r="F34">
        <v>26</v>
      </c>
      <c r="G34">
        <v>-2</v>
      </c>
      <c r="H34" s="60">
        <v>-5000</v>
      </c>
      <c r="I34" s="59">
        <v>217500</v>
      </c>
    </row>
    <row r="35" spans="6:9" x14ac:dyDescent="0.2">
      <c r="F35">
        <v>27</v>
      </c>
      <c r="G35">
        <v>8</v>
      </c>
      <c r="H35" s="60">
        <v>20000</v>
      </c>
      <c r="I35" s="59">
        <v>237500</v>
      </c>
    </row>
    <row r="36" spans="6:9" x14ac:dyDescent="0.2">
      <c r="F36">
        <v>28</v>
      </c>
      <c r="G36">
        <v>-2</v>
      </c>
      <c r="H36" s="60">
        <v>-5000</v>
      </c>
      <c r="I36" s="59">
        <v>232500</v>
      </c>
    </row>
    <row r="37" spans="6:9" x14ac:dyDescent="0.2">
      <c r="F37">
        <v>29</v>
      </c>
      <c r="G37">
        <v>23</v>
      </c>
      <c r="H37" s="60">
        <v>57500</v>
      </c>
      <c r="I37" s="59">
        <v>290000</v>
      </c>
    </row>
    <row r="38" spans="6:9" x14ac:dyDescent="0.2">
      <c r="F38">
        <v>30</v>
      </c>
      <c r="G38">
        <v>-2</v>
      </c>
      <c r="H38" s="60">
        <v>-5000</v>
      </c>
      <c r="I38" s="59">
        <v>285000</v>
      </c>
    </row>
    <row r="39" spans="6:9" x14ac:dyDescent="0.2">
      <c r="F39">
        <v>31</v>
      </c>
      <c r="G39">
        <v>9</v>
      </c>
      <c r="H39" s="60">
        <v>22500</v>
      </c>
      <c r="I39" s="59">
        <v>307500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66" t="s">
        <v>44</v>
      </c>
      <c r="B2" s="66"/>
      <c r="C2" s="66"/>
      <c r="D2" s="66"/>
      <c r="E2" s="66"/>
      <c r="F2" s="66"/>
      <c r="G2" s="66"/>
      <c r="H2" s="66"/>
      <c r="I2" s="66"/>
      <c r="J2" s="66"/>
      <c r="L2" s="67" t="s">
        <v>54</v>
      </c>
      <c r="M2" s="67"/>
      <c r="N2" s="67"/>
      <c r="O2" s="67"/>
      <c r="P2" s="67"/>
      <c r="Q2" s="67"/>
      <c r="R2" s="67"/>
      <c r="S2" s="67"/>
      <c r="T2" s="67"/>
      <c r="U2" s="67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42" customFormat="1" ht="20" x14ac:dyDescent="0.25">
      <c r="C5" s="45" t="s">
        <v>60</v>
      </c>
      <c r="D5" s="45" t="s">
        <v>66</v>
      </c>
      <c r="E5" s="45" t="s">
        <v>61</v>
      </c>
      <c r="F5" s="45" t="s">
        <v>62</v>
      </c>
    </row>
    <row r="7" spans="3:6" ht="19" x14ac:dyDescent="0.25">
      <c r="C7" s="44" t="s">
        <v>71</v>
      </c>
      <c r="D7" s="42" t="s">
        <v>75</v>
      </c>
      <c r="E7" s="43" t="s">
        <v>77</v>
      </c>
      <c r="F7" s="43" t="s">
        <v>78</v>
      </c>
    </row>
    <row r="8" spans="3:6" ht="19" x14ac:dyDescent="0.25">
      <c r="C8" s="44" t="s">
        <v>72</v>
      </c>
      <c r="D8" s="42" t="s">
        <v>80</v>
      </c>
      <c r="E8" s="43" t="s">
        <v>81</v>
      </c>
      <c r="F8" s="43" t="s">
        <v>78</v>
      </c>
    </row>
    <row r="9" spans="3:6" ht="19" x14ac:dyDescent="0.25">
      <c r="C9" s="44" t="s">
        <v>73</v>
      </c>
      <c r="D9" s="42" t="s">
        <v>76</v>
      </c>
      <c r="E9" s="43" t="s">
        <v>79</v>
      </c>
      <c r="F9" s="43" t="s">
        <v>78</v>
      </c>
    </row>
    <row r="10" spans="3:6" ht="19" x14ac:dyDescent="0.25">
      <c r="C10" s="44" t="s">
        <v>74</v>
      </c>
      <c r="D10" s="42" t="s">
        <v>67</v>
      </c>
      <c r="E10" s="43" t="s">
        <v>82</v>
      </c>
      <c r="F10" s="43" t="s">
        <v>78</v>
      </c>
    </row>
    <row r="11" spans="3:6" ht="19" x14ac:dyDescent="0.25">
      <c r="C11" s="44" t="s">
        <v>63</v>
      </c>
      <c r="D11" s="42" t="s">
        <v>67</v>
      </c>
      <c r="E11" s="43" t="s">
        <v>64</v>
      </c>
      <c r="F11" s="43" t="s">
        <v>65</v>
      </c>
    </row>
    <row r="12" spans="3:6" ht="19" x14ac:dyDescent="0.25">
      <c r="C12" s="44" t="s">
        <v>68</v>
      </c>
      <c r="D12" s="42" t="s">
        <v>67</v>
      </c>
      <c r="E12" s="43" t="s">
        <v>69</v>
      </c>
      <c r="F12" s="43" t="s">
        <v>85</v>
      </c>
    </row>
    <row r="13" spans="3:6" ht="19" x14ac:dyDescent="0.25">
      <c r="C13" s="44" t="s">
        <v>83</v>
      </c>
      <c r="D13" s="42" t="s">
        <v>80</v>
      </c>
      <c r="E13" s="43" t="s">
        <v>87</v>
      </c>
      <c r="F13" s="43" t="s">
        <v>65</v>
      </c>
    </row>
    <row r="14" spans="3:6" ht="19" x14ac:dyDescent="0.25">
      <c r="C14" s="44" t="s">
        <v>84</v>
      </c>
      <c r="D14" s="42" t="s">
        <v>80</v>
      </c>
      <c r="E14" s="43" t="s">
        <v>86</v>
      </c>
      <c r="F14" s="43" t="s">
        <v>85</v>
      </c>
    </row>
    <row r="15" spans="3:6" ht="19" x14ac:dyDescent="0.25">
      <c r="C15" s="44" t="s">
        <v>88</v>
      </c>
      <c r="D15" s="42" t="s">
        <v>92</v>
      </c>
      <c r="E15" s="43" t="s">
        <v>64</v>
      </c>
      <c r="F15" s="43" t="s">
        <v>86</v>
      </c>
    </row>
    <row r="16" spans="3:6" ht="19" x14ac:dyDescent="0.25">
      <c r="C16" s="44" t="s">
        <v>89</v>
      </c>
      <c r="D16" s="42" t="s">
        <v>93</v>
      </c>
      <c r="E16" s="43" t="s">
        <v>96</v>
      </c>
      <c r="F16" s="43" t="s">
        <v>70</v>
      </c>
    </row>
    <row r="17" spans="3:6" ht="19" x14ac:dyDescent="0.25">
      <c r="C17" s="44" t="s">
        <v>90</v>
      </c>
      <c r="D17" s="42" t="s">
        <v>92</v>
      </c>
      <c r="E17" s="43" t="s">
        <v>94</v>
      </c>
      <c r="F17" s="43" t="s">
        <v>95</v>
      </c>
    </row>
    <row r="18" spans="3:6" ht="19" x14ac:dyDescent="0.25">
      <c r="C18" s="44" t="s">
        <v>91</v>
      </c>
      <c r="D18" s="42" t="s">
        <v>93</v>
      </c>
      <c r="E18" s="43" t="s">
        <v>97</v>
      </c>
      <c r="F18" s="43" t="s">
        <v>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68" t="s">
        <v>13</v>
      </c>
      <c r="E5" s="69"/>
    </row>
    <row r="6" spans="4:5" x14ac:dyDescent="0.2">
      <c r="D6" s="70"/>
      <c r="E6" s="71"/>
    </row>
    <row r="7" spans="4:5" ht="17" thickBot="1" x14ac:dyDescent="0.25">
      <c r="D7" s="72"/>
      <c r="E7" s="73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Futures</vt:lpstr>
      <vt:lpstr>Options</vt:lpstr>
      <vt:lpstr>Swing strategy Index</vt:lpstr>
      <vt:lpstr>Sheet2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2021-05-21T13:51:38Z</dcterms:modified>
</cp:coreProperties>
</file>